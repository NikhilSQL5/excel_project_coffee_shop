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README" sheetId="1" state="visible" r:id="rId3"/>
    <sheet name="Raw_Data" sheetId="2" state="visible" r:id="rId4"/>
    <sheet name="Cleaned_Data" sheetId="3" state="visible" r:id="rId5"/>
    <sheet name="Calculations" sheetId="4" state="visible" r:id="rId6"/>
    <sheet name="PivotTables" sheetId="5" state="visible" r:id="rId7"/>
    <sheet name="Dashboard" sheetId="6" state="visible" r:id="rId8"/>
  </sheets>
  <definedNames>
    <definedName function="false" hidden="true" localSheetId="2" name="_xlnm._FilterDatabase" vbProcedure="false">Cleaned_Data!$A$4:$P$201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<sst xmlns="http://schemas.openxmlformats.org/spreadsheetml/2006/main" count="1347" uniqueCount="359">
  <si>
    <t xml:space="preserve">BrewTrack — Coffee Shop Sales Performance Analysis</t>
  </si>
  <si>
    <t xml:space="preserve">PROJECT OVERVIEW</t>
  </si>
  <si>
    <t xml:space="preserve">A small Excel Data Analyst portfolio project analyzing 3 months (Jun–Aug 2026) of sales across 4 outlets of a fictional coffee shop chain, BrewTrack. Built to demonstrate data cleaning, formula-based analysis, summary tables, and dashboard design at a fresher/beginner-to-intermediate level.</t>
  </si>
  <si>
    <t xml:space="preserve">BUSINESS PROBLEM</t>
  </si>
  <si>
    <t xml:space="preserve">BrewTrack's owner has been exporting daily sales from the POS billing system into a spreadsheet but has never analyzed it. This project answers: what's selling, which outlet performs best, what a typical order looks like, and where to focus attention next quarter.</t>
  </si>
  <si>
    <t xml:space="preserve">OBJECTIVES</t>
  </si>
  <si>
    <t xml:space="preserve">•  Clean 3 months of raw POS export data (200 rows, with realistic data-quality issues)</t>
  </si>
  <si>
    <t xml:space="preserve">•  Calculate core KPIs: Total Sales, Total Profit, Profit Margin, Average Order Value, Total Orders</t>
  </si>
  <si>
    <t xml:space="preserve">•  Identify best-selling products and the most profitable category</t>
  </si>
  <si>
    <t xml:space="preserve">•  Compare outlet performance</t>
  </si>
  <si>
    <t xml:space="preserve">•  Spot the monthly sales trend across the quarter</t>
  </si>
  <si>
    <t xml:space="preserve">•  Build summary tables (PivotTable-style) answering every business question</t>
  </si>
  <si>
    <t xml:space="preserve">•  Build one clean, interactive dashboard</t>
  </si>
  <si>
    <t xml:space="preserve">•  Turn the analysis into insights and recommendations the owner could act on</t>
  </si>
  <si>
    <t xml:space="preserve">HOW THIS WORKBOOK IS ORGANIZED</t>
  </si>
  <si>
    <t xml:space="preserve">Raw_Data</t>
  </si>
  <si>
    <t xml:space="preserve">The original POS export, unedited — including every data-quality issue. Never modified.</t>
  </si>
  <si>
    <t xml:space="preserve">Cleaned_Data</t>
  </si>
  <si>
    <t xml:space="preserve">Every cell here is a formula pulling from Raw_Data — casing/spacing standardized, duplicate orders removed, missing dates and quantities handled, and the calculated columns (Sales, Profit, Profit Margin, Month, Year, Order Status Category) added.</t>
  </si>
  <si>
    <t xml:space="preserve">Calculations</t>
  </si>
  <si>
    <t xml:space="preserve">Core KPI formulas — Total Orders, Total Sales, Total Profit, Profit Margin, Average Order Value, and the Jun–Aug monthly trend with Month-over-Month growth.</t>
  </si>
  <si>
    <t xml:space="preserve">PivotTables</t>
  </si>
  <si>
    <t xml:space="preserve">Five SUMIFS/COUNTIFS-based summary tables — Sales by Month, Sales &amp; Profit by Category, Sales by Outlet, Top 5 Products, and Order Status Breakdown.</t>
  </si>
  <si>
    <t xml:space="preserve">Dashboard</t>
  </si>
  <si>
    <t xml:space="preserve">One-page view: 5 KPI cards and 5 charts (Monthly Trend, Sales by Category, Sales by Outlet, Top 5 Products, Order Status), built from the PivotTables tab.</t>
  </si>
  <si>
    <t xml:space="preserve">A NOTE ON PIVOTTABLES &amp; SLICERS</t>
  </si>
  <si>
    <t xml:space="preserve">The PivotTables tab uses SUMIFS/COUNTIFS formulas rather than native Excel PivotTable objects. This is a deliberate choice: it keeps every number instantly recalculating with zero risk of a broken pivot cache when this file is opened on a different machine. The trade-off is explainable in an interview: 'I built the summaries with SUMIFS so they're fully dynamic; I can also build the same view as a native PivotTable with Insert &gt; PivotTable in under a minute if needed — here's how...' Same logic applies to the dashboard's filtering: it uses AutoFilter on the Cleaned_Data tab instead of native Slicers. To add real Slicers: select the Cleaned_Data table → Insert &gt; PivotTable → build a PivotTable from any field → Insert &gt; Slicer.</t>
  </si>
  <si>
    <t xml:space="preserve">DATA DICTIONARY</t>
  </si>
  <si>
    <t xml:space="preserve">See the Cleaned_Data tab headers for the full column list. Key columns: Sales = Quantity × Unit_Price. Profit = Sales − Cost. Profit_Margin = Profit ÷ Sales. Order_Status_Category groups every status into Completed / Not Completed. All KPI totals count Completed orders only — Cancelled orders never became real revenue.</t>
  </si>
  <si>
    <t xml:space="preserve">Author: [Your Name]</t>
  </si>
  <si>
    <t xml:space="preserve">Raw_Data — As exported from the POS billing system (unedited)</t>
  </si>
  <si>
    <t xml:space="preserve">Do not edit this sheet. This is the original export, kept intact so the cleaning steps on the Cleaned_Data tab can be verified against it.</t>
  </si>
  <si>
    <t xml:space="preserve">Order_ID</t>
  </si>
  <si>
    <t xml:space="preserve">Order_Date</t>
  </si>
  <si>
    <t xml:space="preserve">Outlet</t>
  </si>
  <si>
    <t xml:space="preserve">Product</t>
  </si>
  <si>
    <t xml:space="preserve">Category</t>
  </si>
  <si>
    <t xml:space="preserve">Quantity</t>
  </si>
  <si>
    <t xml:space="preserve">Unit_Price</t>
  </si>
  <si>
    <t xml:space="preserve">Cost</t>
  </si>
  <si>
    <t xml:space="preserve">Payment_Method</t>
  </si>
  <si>
    <t xml:space="preserve">Order_Status</t>
  </si>
  <si>
    <t xml:space="preserve">ORD1145</t>
  </si>
  <si>
    <t xml:space="preserve">Koramangala</t>
  </si>
  <si>
    <t xml:space="preserve">Danish Pastry</t>
  </si>
  <si>
    <t xml:space="preserve">Bakery</t>
  </si>
  <si>
    <t xml:space="preserve">Cash</t>
  </si>
  <si>
    <t xml:space="preserve">Cancelled</t>
  </si>
  <si>
    <t xml:space="preserve">ORD1010</t>
  </si>
  <si>
    <t xml:space="preserve"> muffin </t>
  </si>
  <si>
    <t xml:space="preserve">UPI</t>
  </si>
  <si>
    <t xml:space="preserve">Completed</t>
  </si>
  <si>
    <t xml:space="preserve">ORD1018</t>
  </si>
  <si>
    <t xml:space="preserve">koramangala</t>
  </si>
  <si>
    <t xml:space="preserve">Veg Puff</t>
  </si>
  <si>
    <t xml:space="preserve">Snacks</t>
  </si>
  <si>
    <t xml:space="preserve">Card</t>
  </si>
  <si>
    <t xml:space="preserve">ORD1021</t>
  </si>
  <si>
    <t xml:space="preserve">Brownie</t>
  </si>
  <si>
    <t xml:space="preserve">ORD1046</t>
  </si>
  <si>
    <t xml:space="preserve">Whitefield</t>
  </si>
  <si>
    <t xml:space="preserve">Hot Chocolate</t>
  </si>
  <si>
    <t xml:space="preserve">Hot Beverages</t>
  </si>
  <si>
    <t xml:space="preserve">ORD1007</t>
  </si>
  <si>
    <t xml:space="preserve">hsr layout</t>
  </si>
  <si>
    <t xml:space="preserve">ORD1053</t>
  </si>
  <si>
    <t xml:space="preserve">Indiranagar</t>
  </si>
  <si>
    <t xml:space="preserve">Sandwich</t>
  </si>
  <si>
    <t xml:space="preserve">ORD1092</t>
  </si>
  <si>
    <t xml:space="preserve">Garlic Bread</t>
  </si>
  <si>
    <t xml:space="preserve">ORD1130</t>
  </si>
  <si>
    <t xml:space="preserve">Espresso</t>
  </si>
  <si>
    <t xml:space="preserve">ORD1184</t>
  </si>
  <si>
    <t xml:space="preserve">Croissant</t>
  </si>
  <si>
    <t xml:space="preserve">ORD1022</t>
  </si>
  <si>
    <t xml:space="preserve">ORD1043</t>
  </si>
  <si>
    <t xml:space="preserve">indiranagar</t>
  </si>
  <si>
    <t xml:space="preserve">Iced Tea</t>
  </si>
  <si>
    <t xml:space="preserve">Cold Beverages</t>
  </si>
  <si>
    <t xml:space="preserve">ORD1106</t>
  </si>
  <si>
    <t xml:space="preserve">Cappuccino</t>
  </si>
  <si>
    <t xml:space="preserve">ORD1146</t>
  </si>
  <si>
    <t xml:space="preserve">ORD1088</t>
  </si>
  <si>
    <t xml:space="preserve">HSR Layout</t>
  </si>
  <si>
    <t xml:space="preserve">ORD1153</t>
  </si>
  <si>
    <t xml:space="preserve">Latte</t>
  </si>
  <si>
    <t xml:space="preserve">ORD1125</t>
  </si>
  <si>
    <t xml:space="preserve">COLD BREW</t>
  </si>
  <si>
    <t xml:space="preserve">ORD1093</t>
  </si>
  <si>
    <t xml:space="preserve">Frappe</t>
  </si>
  <si>
    <t xml:space="preserve">ORD1102</t>
  </si>
  <si>
    <t xml:space="preserve">ORD1014</t>
  </si>
  <si>
    <t xml:space="preserve">ORD1109</t>
  </si>
  <si>
    <t xml:space="preserve">03/08/2026</t>
  </si>
  <si>
    <t xml:space="preserve">ORD1076</t>
  </si>
  <si>
    <t xml:space="preserve">ORD1041</t>
  </si>
  <si>
    <t xml:space="preserve">Filter Coffee</t>
  </si>
  <si>
    <t xml:space="preserve">ORD1148</t>
  </si>
  <si>
    <t xml:space="preserve">ORD1192</t>
  </si>
  <si>
    <t xml:space="preserve">Muffin</t>
  </si>
  <si>
    <t xml:space="preserve">ORD1193</t>
  </si>
  <si>
    <t xml:space="preserve">Hot Beverage</t>
  </si>
  <si>
    <t xml:space="preserve">ORD1195</t>
  </si>
  <si>
    <t xml:space="preserve">ORD1118</t>
  </si>
  <si>
    <t xml:space="preserve">ORD1003</t>
  </si>
  <si>
    <t xml:space="preserve"> Cold Beverages </t>
  </si>
  <si>
    <t xml:space="preserve">ORD1132</t>
  </si>
  <si>
    <t xml:space="preserve">ORD1020</t>
  </si>
  <si>
    <t xml:space="preserve">Cold Brew</t>
  </si>
  <si>
    <t xml:space="preserve">ORD1144</t>
  </si>
  <si>
    <t xml:space="preserve">Iced Latte</t>
  </si>
  <si>
    <t xml:space="preserve">ORD1023</t>
  </si>
  <si>
    <t xml:space="preserve"> Snacks </t>
  </si>
  <si>
    <t xml:space="preserve">ORD1103</t>
  </si>
  <si>
    <t xml:space="preserve">13/06/2026</t>
  </si>
  <si>
    <t xml:space="preserve">ORD1061</t>
  </si>
  <si>
    <t xml:space="preserve">bakery</t>
  </si>
  <si>
    <t xml:space="preserve">ORD1137</t>
  </si>
  <si>
    <t xml:space="preserve">ORD1169</t>
  </si>
  <si>
    <t xml:space="preserve"> Koramangala</t>
  </si>
  <si>
    <t xml:space="preserve">ORD1139</t>
  </si>
  <si>
    <t xml:space="preserve">ORD1055</t>
  </si>
  <si>
    <t xml:space="preserve">ORD1177</t>
  </si>
  <si>
    <t xml:space="preserve">ORD1112</t>
  </si>
  <si>
    <t xml:space="preserve">ORD1115</t>
  </si>
  <si>
    <t xml:space="preserve"> sandwich </t>
  </si>
  <si>
    <t xml:space="preserve">ORD1015</t>
  </si>
  <si>
    <t xml:space="preserve">ORD1107</t>
  </si>
  <si>
    <t xml:space="preserve">30/06/2026</t>
  </si>
  <si>
    <t xml:space="preserve">ORD1086</t>
  </si>
  <si>
    <t xml:space="preserve">whitefield</t>
  </si>
  <si>
    <t xml:space="preserve">ORD1168</t>
  </si>
  <si>
    <t xml:space="preserve">ORD1196</t>
  </si>
  <si>
    <t xml:space="preserve">ORD1027</t>
  </si>
  <si>
    <t xml:space="preserve">Indiranagar </t>
  </si>
  <si>
    <t xml:space="preserve">ORD1136</t>
  </si>
  <si>
    <t xml:space="preserve">ORD1079</t>
  </si>
  <si>
    <t xml:space="preserve">ORD1151</t>
  </si>
  <si>
    <t xml:space="preserve">ORD1071</t>
  </si>
  <si>
    <t xml:space="preserve">ORD1181</t>
  </si>
  <si>
    <t xml:space="preserve">ORD1038</t>
  </si>
  <si>
    <t xml:space="preserve">ORD1063</t>
  </si>
  <si>
    <t xml:space="preserve">ORD1167</t>
  </si>
  <si>
    <t xml:space="preserve">ORD1044</t>
  </si>
  <si>
    <t xml:space="preserve">ORD1024</t>
  </si>
  <si>
    <t xml:space="preserve">Nachos</t>
  </si>
  <si>
    <t xml:space="preserve">ORD1131</t>
  </si>
  <si>
    <t xml:space="preserve">ORD1084</t>
  </si>
  <si>
    <t xml:space="preserve">ORD1045</t>
  </si>
  <si>
    <t xml:space="preserve">ORD1116</t>
  </si>
  <si>
    <t xml:space="preserve">ORD1185</t>
  </si>
  <si>
    <t xml:space="preserve">ORD1160</t>
  </si>
  <si>
    <t xml:space="preserve">ORD1182</t>
  </si>
  <si>
    <t xml:space="preserve">ORD1008</t>
  </si>
  <si>
    <t xml:space="preserve">ORD1096</t>
  </si>
  <si>
    <t xml:space="preserve">ORD1157</t>
  </si>
  <si>
    <t xml:space="preserve"> Bakery</t>
  </si>
  <si>
    <t xml:space="preserve">ORD1176</t>
  </si>
  <si>
    <t xml:space="preserve">ORD1141</t>
  </si>
  <si>
    <t xml:space="preserve">ORD1186</t>
  </si>
  <si>
    <t xml:space="preserve">ORD1166</t>
  </si>
  <si>
    <t xml:space="preserve">ORD1089</t>
  </si>
  <si>
    <t xml:space="preserve">hot beverages</t>
  </si>
  <si>
    <t xml:space="preserve">ORD1155</t>
  </si>
  <si>
    <t xml:space="preserve">ORD1001</t>
  </si>
  <si>
    <t xml:space="preserve">ORD1171</t>
  </si>
  <si>
    <t xml:space="preserve">ORD1035</t>
  </si>
  <si>
    <t xml:space="preserve">24/08/2026</t>
  </si>
  <si>
    <t xml:space="preserve">ORD1128</t>
  </si>
  <si>
    <t xml:space="preserve">ORD1165</t>
  </si>
  <si>
    <t xml:space="preserve">ORD1069</t>
  </si>
  <si>
    <t xml:space="preserve">ORD1098</t>
  </si>
  <si>
    <t xml:space="preserve">HOT CHOCOLATE</t>
  </si>
  <si>
    <t xml:space="preserve">ORD1011</t>
  </si>
  <si>
    <t xml:space="preserve">ORD1190</t>
  </si>
  <si>
    <t xml:space="preserve">ORD1142</t>
  </si>
  <si>
    <t xml:space="preserve">ORD1194</t>
  </si>
  <si>
    <t xml:space="preserve">cold beverages</t>
  </si>
  <si>
    <t xml:space="preserve">ORD1174</t>
  </si>
  <si>
    <t xml:space="preserve">ORD1191</t>
  </si>
  <si>
    <t xml:space="preserve">ORD1042</t>
  </si>
  <si>
    <t xml:space="preserve">ORD1163</t>
  </si>
  <si>
    <t xml:space="preserve">ORD1143</t>
  </si>
  <si>
    <t xml:space="preserve">ORD1047</t>
  </si>
  <si>
    <t xml:space="preserve">ORD1039</t>
  </si>
  <si>
    <t xml:space="preserve">ORD1095</t>
  </si>
  <si>
    <t xml:space="preserve">04/07/2026</t>
  </si>
  <si>
    <t xml:space="preserve">ORD1004</t>
  </si>
  <si>
    <t xml:space="preserve">ORD1030</t>
  </si>
  <si>
    <t xml:space="preserve">ORD1074</t>
  </si>
  <si>
    <t xml:space="preserve">ORD1152</t>
  </si>
  <si>
    <t xml:space="preserve">ORD1117</t>
  </si>
  <si>
    <t xml:space="preserve">ORD1037</t>
  </si>
  <si>
    <t xml:space="preserve">ORD1056</t>
  </si>
  <si>
    <t xml:space="preserve">21/06/2026</t>
  </si>
  <si>
    <t xml:space="preserve">ORD1078</t>
  </si>
  <si>
    <t xml:space="preserve">ORD1105</t>
  </si>
  <si>
    <t xml:space="preserve">ORD1012</t>
  </si>
  <si>
    <t xml:space="preserve">ORD1140</t>
  </si>
  <si>
    <t xml:space="preserve">ORD1050</t>
  </si>
  <si>
    <t xml:space="preserve">ORD1183</t>
  </si>
  <si>
    <t xml:space="preserve">ORD1080</t>
  </si>
  <si>
    <t xml:space="preserve">ORD1066</t>
  </si>
  <si>
    <t xml:space="preserve"> frappe </t>
  </si>
  <si>
    <t xml:space="preserve">ORD1124</t>
  </si>
  <si>
    <t xml:space="preserve">ORD1068</t>
  </si>
  <si>
    <t xml:space="preserve">ORD1082</t>
  </si>
  <si>
    <t xml:space="preserve">ORD1090</t>
  </si>
  <si>
    <t xml:space="preserve">ORD1094</t>
  </si>
  <si>
    <t xml:space="preserve">ORD1075</t>
  </si>
  <si>
    <t xml:space="preserve">ORD1087</t>
  </si>
  <si>
    <t xml:space="preserve"> hot chocolate </t>
  </si>
  <si>
    <t xml:space="preserve">ORD1150</t>
  </si>
  <si>
    <t xml:space="preserve">ORD1032</t>
  </si>
  <si>
    <t xml:space="preserve">ORD1033</t>
  </si>
  <si>
    <t xml:space="preserve">ORD1159</t>
  </si>
  <si>
    <t xml:space="preserve">21/08/2026</t>
  </si>
  <si>
    <t xml:space="preserve">ORD1147</t>
  </si>
  <si>
    <t xml:space="preserve">ORD1028</t>
  </si>
  <si>
    <t xml:space="preserve">ORD1126</t>
  </si>
  <si>
    <t xml:space="preserve">ORD1052</t>
  </si>
  <si>
    <t xml:space="preserve">ORD1002</t>
  </si>
  <si>
    <t xml:space="preserve">ORD1100</t>
  </si>
  <si>
    <t xml:space="preserve">ORD1017</t>
  </si>
  <si>
    <t xml:space="preserve">ORD1114</t>
  </si>
  <si>
    <t xml:space="preserve">ORD1058</t>
  </si>
  <si>
    <t xml:space="preserve">ORD1161</t>
  </si>
  <si>
    <t xml:space="preserve">ORD1178</t>
  </si>
  <si>
    <t xml:space="preserve">ORD1158</t>
  </si>
  <si>
    <t xml:space="preserve">ORD1097</t>
  </si>
  <si>
    <t xml:space="preserve">ORD1040</t>
  </si>
  <si>
    <t xml:space="preserve">ORD1179</t>
  </si>
  <si>
    <t xml:space="preserve">ICED LATTE</t>
  </si>
  <si>
    <t xml:space="preserve">ORD1175</t>
  </si>
  <si>
    <t xml:space="preserve">ORD1048</t>
  </si>
  <si>
    <t xml:space="preserve">ORD1065</t>
  </si>
  <si>
    <t xml:space="preserve">ORD1108</t>
  </si>
  <si>
    <t xml:space="preserve">ORD1127</t>
  </si>
  <si>
    <t xml:space="preserve">ORD1026</t>
  </si>
  <si>
    <t xml:space="preserve">ORD1025</t>
  </si>
  <si>
    <t xml:space="preserve">snacks</t>
  </si>
  <si>
    <t xml:space="preserve">ORD1104</t>
  </si>
  <si>
    <t xml:space="preserve">ORD1059</t>
  </si>
  <si>
    <t xml:space="preserve"> Hot Beverages</t>
  </si>
  <si>
    <t xml:space="preserve">ORD1009</t>
  </si>
  <si>
    <t xml:space="preserve">ORD1034</t>
  </si>
  <si>
    <t xml:space="preserve">ORD1072</t>
  </si>
  <si>
    <t xml:space="preserve">ORD1122</t>
  </si>
  <si>
    <t xml:space="preserve">ORD1067</t>
  </si>
  <si>
    <t xml:space="preserve">ORD1064</t>
  </si>
  <si>
    <t xml:space="preserve">ORD1172</t>
  </si>
  <si>
    <t xml:space="preserve">ORD1188</t>
  </si>
  <si>
    <t xml:space="preserve">ORD1154</t>
  </si>
  <si>
    <t xml:space="preserve">ORD1156</t>
  </si>
  <si>
    <t xml:space="preserve">ORD1031</t>
  </si>
  <si>
    <t xml:space="preserve">ORD1077</t>
  </si>
  <si>
    <t xml:space="preserve">ORD1133</t>
  </si>
  <si>
    <t xml:space="preserve">ORD1119</t>
  </si>
  <si>
    <t xml:space="preserve">25/06/2026</t>
  </si>
  <si>
    <t xml:space="preserve">ORD1070</t>
  </si>
  <si>
    <t xml:space="preserve">ORD1180</t>
  </si>
  <si>
    <t xml:space="preserve">ORD1129</t>
  </si>
  <si>
    <t xml:space="preserve">ORD1110</t>
  </si>
  <si>
    <t xml:space="preserve">ORD1138</t>
  </si>
  <si>
    <t xml:space="preserve">ORD1029</t>
  </si>
  <si>
    <t xml:space="preserve">ORD1091</t>
  </si>
  <si>
    <t xml:space="preserve">ORD1135</t>
  </si>
  <si>
    <t xml:space="preserve">ORD1016</t>
  </si>
  <si>
    <t xml:space="preserve">ORD1083</t>
  </si>
  <si>
    <t xml:space="preserve">ORD1013</t>
  </si>
  <si>
    <t xml:space="preserve">FILTER COFFEE</t>
  </si>
  <si>
    <t xml:space="preserve">ORD1162</t>
  </si>
  <si>
    <t xml:space="preserve">ORD1197</t>
  </si>
  <si>
    <t xml:space="preserve">ORD1036</t>
  </si>
  <si>
    <t xml:space="preserve">ORD1081</t>
  </si>
  <si>
    <t xml:space="preserve">ORD1006</t>
  </si>
  <si>
    <t xml:space="preserve">ORD1054</t>
  </si>
  <si>
    <t xml:space="preserve">ORD1187</t>
  </si>
  <si>
    <t xml:space="preserve">ORD1051</t>
  </si>
  <si>
    <t xml:space="preserve">ORD1019</t>
  </si>
  <si>
    <t xml:space="preserve">ORD1134</t>
  </si>
  <si>
    <t xml:space="preserve">ORD1170</t>
  </si>
  <si>
    <t xml:space="preserve">ORD1120</t>
  </si>
  <si>
    <t xml:space="preserve">ICED TEA</t>
  </si>
  <si>
    <t xml:space="preserve">ORD1149</t>
  </si>
  <si>
    <t xml:space="preserve">ORD1060</t>
  </si>
  <si>
    <t xml:space="preserve">ORD1085</t>
  </si>
  <si>
    <t xml:space="preserve">ORD1101</t>
  </si>
  <si>
    <t xml:space="preserve">ORD1123</t>
  </si>
  <si>
    <t xml:space="preserve">ORD1062</t>
  </si>
  <si>
    <t xml:space="preserve">20/08/2026</t>
  </si>
  <si>
    <t xml:space="preserve">ORD1173</t>
  </si>
  <si>
    <t xml:space="preserve">ORD1111</t>
  </si>
  <si>
    <t xml:space="preserve">ORD1073</t>
  </si>
  <si>
    <t xml:space="preserve">ORD1099</t>
  </si>
  <si>
    <t xml:space="preserve">ORD1189</t>
  </si>
  <si>
    <t xml:space="preserve">ORD1164</t>
  </si>
  <si>
    <t xml:space="preserve">ORD1121</t>
  </si>
  <si>
    <t xml:space="preserve">ORD1113</t>
  </si>
  <si>
    <t xml:space="preserve">ORD1049</t>
  </si>
  <si>
    <t xml:space="preserve">14/07/2026</t>
  </si>
  <si>
    <t xml:space="preserve">ORD1005</t>
  </si>
  <si>
    <t xml:space="preserve">ORD1057</t>
  </si>
  <si>
    <t xml:space="preserve">Cleaned_Data — Every column below is a formula pulling from Raw_Data (nothing is retyped by hand)</t>
  </si>
  <si>
    <t xml:space="preserve">Cleaning log: 3 duplicate Order_IDs removed (kept first occurrence) · text/casing standardized · 2 mismatched date formats reconstructed · 3 missing Quantity values defaulted to 1 (flagged) · 7 blank Payment_Method values labeled 'Not Specified'.</t>
  </si>
  <si>
    <t xml:space="preserve">Order ID</t>
  </si>
  <si>
    <t xml:space="preserve">Order Date</t>
  </si>
  <si>
    <t xml:space="preserve">Unit Price</t>
  </si>
  <si>
    <t xml:space="preserve">Sales</t>
  </si>
  <si>
    <t xml:space="preserve">Profit</t>
  </si>
  <si>
    <t xml:space="preserve">Profit Margin</t>
  </si>
  <si>
    <t xml:space="preserve">Month</t>
  </si>
  <si>
    <t xml:space="preserve">Year</t>
  </si>
  <si>
    <t xml:space="preserve">Payment Method</t>
  </si>
  <si>
    <t xml:space="preserve">Order Status</t>
  </si>
  <si>
    <t xml:space="preserve">Order Status Category</t>
  </si>
  <si>
    <t xml:space="preserve">Cleaning Reference Tables (used by formulas — do not delete)</t>
  </si>
  <si>
    <t xml:space="preserve">Category variant</t>
  </si>
  <si>
    <t xml:space="preserve">Standardized to</t>
  </si>
  <si>
    <t xml:space="preserve">Cold Beverage</t>
  </si>
  <si>
    <t xml:space="preserve">Outlet variant (after PROPER)</t>
  </si>
  <si>
    <t xml:space="preserve">Hsr</t>
  </si>
  <si>
    <t xml:space="preserve">Hsr Layout</t>
  </si>
  <si>
    <t xml:space="preserve">Calculations — Core KPIs (formulas reference Cleaned_Data; nothing is a typed-in number)</t>
  </si>
  <si>
    <t xml:space="preserve">Revenue &amp; Profit KPIs</t>
  </si>
  <si>
    <t xml:space="preserve">Total Orders</t>
  </si>
  <si>
    <t xml:space="preserve">Completed Orders</t>
  </si>
  <si>
    <t xml:space="preserve">Cancelled Orders</t>
  </si>
  <si>
    <t xml:space="preserve">Completed Orders %</t>
  </si>
  <si>
    <t xml:space="preserve">Cancelled Orders %</t>
  </si>
  <si>
    <t xml:space="preserve">Total Sales (Completed only)</t>
  </si>
  <si>
    <t xml:space="preserve">Total Cost (Completed only)</t>
  </si>
  <si>
    <t xml:space="preserve">Total Profit (Completed only)</t>
  </si>
  <si>
    <t xml:space="preserve">Profit Margin %</t>
  </si>
  <si>
    <t xml:space="preserve">Average Order Value</t>
  </si>
  <si>
    <t xml:space="preserve">Monthly Trend &amp; Growth</t>
  </si>
  <si>
    <t xml:space="preserve">Sales (Completed)</t>
  </si>
  <si>
    <t xml:space="preserve">Jun-2026</t>
  </si>
  <si>
    <t xml:space="preserve">Jul-2026</t>
  </si>
  <si>
    <t xml:space="preserve">Aug-2026</t>
  </si>
  <si>
    <t xml:space="preserve">MoM Growth (Aug vs. Jul)</t>
  </si>
  <si>
    <t xml:space="preserve">PivotTables — Summary views answering each business question (built with SUMIFS/COUNTIFS)</t>
  </si>
  <si>
    <t xml:space="preserve">Note: these are formula-driven summary tables rather than native Excel PivotTable objects, so every number recalculates instantly and the file has zero risk of a broken pivot cache. See the README tab for how to convert any of these into a real Insert &gt; PivotTable in under a minute.</t>
  </si>
  <si>
    <t xml:space="preserve">1. Sales by Month  (Rows: Month | Values: Sum of Sales, Completed only)</t>
  </si>
  <si>
    <t xml:space="preserve">2. Sales &amp; Profit by Category  (Rows: Category | Values: Sum of Sales, Profit, Margin %)</t>
  </si>
  <si>
    <t xml:space="preserve">% of Total Sales</t>
  </si>
  <si>
    <t xml:space="preserve">3. Sales by Outlet  (Rows: Outlet | Values: Sum of Sales, Order Count)</t>
  </si>
  <si>
    <t xml:space="preserve">Orders</t>
  </si>
  <si>
    <t xml:space="preserve">4. Top 5 Products by Sales</t>
  </si>
  <si>
    <t xml:space="preserve">Note: the 5 products above were identified as the current top performers by Sales; each cell's value is still a live SUMIFS formula, so if the underlying data changes, update this list by checking the ranking again.</t>
  </si>
  <si>
    <t xml:space="preserve">5. Order Status Breakdown  (Rows: Order Status | Values: Count, % of Total)</t>
  </si>
  <si>
    <t xml:space="preserve">% of Total</t>
  </si>
  <si>
    <t xml:space="preserve">BrewTrack — Coffee Shop Sales Performance Dashboard</t>
  </si>
  <si>
    <t xml:space="preserve">Jun–Aug 2026  |  4 outlets  |  Data cleaned &amp; calculated on the Cleaned_Data and Calculations tabs</t>
  </si>
  <si>
    <t xml:space="preserve">Total Sales</t>
  </si>
  <si>
    <t xml:space="preserve">Total Profit</t>
  </si>
  <si>
    <t xml:space="preserve">Avg Order Value</t>
  </si>
  <si>
    <t xml:space="preserve">Filtering this dashboard</t>
  </si>
  <si>
    <t xml:space="preserve">This dashboard's charts pull from the PivotTables tab, which is formula-driven — so filtering happens on Cleaned_Data. Use the AutoFilter dropdowns on the Cleaned_Data tab (Outlet, Category, Month, Order Status) to narrow the data; the KPI cards and pivot-style tables recalculate automatically. To get one-click Slicers instead: select the Cleaned_Data table, go to Insert &gt; PivotTable, build a PivotTable from any summary above, then Insert &gt; Slicer.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</si>
</sst>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0.0%"/>
    <numFmt numFmtId="168" formatCode="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B5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B57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i val="true"/>
      <sz val="11"/>
      <color rgb="FFB0002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i val="true"/>
      <sz val="11"/>
      <color rgb="FF2E7D32"/>
      <name val="Arial"/>
      <family val="0"/>
      <charset val="1"/>
    </font>
    <font>
      <b val="true"/>
      <i val="true"/>
      <sz val="10"/>
      <color rgb="FFB00020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11"/>
      <color rgb="FF1F3B57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8"/>
      <color rgb="FF1F3B57"/>
      <name val="Arial"/>
      <family val="0"/>
      <charset val="1"/>
    </font>
    <font>
      <b val="true"/>
      <sz val="12"/>
      <color rgb="FF1F3B5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1F3B57"/>
        <bgColor rgb="FF003366"/>
      </patternFill>
    </fill>
    <fill>
      <patternFill patternType="solid">
        <fgColor rgb="FFE8F5E9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2E7D32"/>
      </left>
      <right style="medium">
        <color rgb="FF2E7D32"/>
      </right>
      <top style="medium">
        <color rgb="FF2E7D32"/>
      </top>
      <bottom/>
      <diagonal/>
    </border>
    <border diagonalUp="false" diagonalDown="false">
      <left style="medium">
        <color rgb="FF2E7D32"/>
      </left>
      <right style="medium">
        <color rgb="FF2E7D32"/>
      </right>
      <top/>
      <bottom/>
      <diagonal/>
    </border>
    <border diagonalUp="false" diagonalDown="false">
      <left style="medium">
        <color rgb="FF2E7D32"/>
      </left>
      <right style="medium">
        <color rgb="FF2E7D32"/>
      </right>
      <top/>
      <bottom style="medium">
        <color rgb="FF2E7D3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B5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E8F5E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777777"/>
      <rgbColor rgb="FF4F81BD"/>
      <rgbColor rgb="FF003366"/>
      <rgbColor rgb="FF2E7D32"/>
      <rgbColor rgb="FF003300"/>
      <rgbColor rgb="FF333300"/>
      <rgbColor rgb="FF993300"/>
      <rgbColor rgb="FF993366"/>
      <rgbColor rgb="FF555555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PivotTables!B5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PivotTables!$A$6:$A$8</c:f>
              <c:strCache>
                <c:ptCount val="3"/>
                <c:pt idx="0">
                  <c:v>Jun-2026</c:v>
                </c:pt>
                <c:pt idx="1">
                  <c:v>Jul-2026</c:v>
                </c:pt>
                <c:pt idx="2">
                  <c:v>Aug-2026</c:v>
                </c:pt>
              </c:strCache>
            </c:strRef>
          </c:cat>
          <c:val>
            <c:numRef>
              <c:f>PivotTables!$B$6:$B$8</c:f>
              <c:numCache>
                <c:formatCode>#,##0</c:formatCode>
                <c:ptCount val="3"/>
                <c:pt idx="0">
                  <c:v>15900</c:v>
                </c:pt>
                <c:pt idx="1">
                  <c:v>12310</c:v>
                </c:pt>
                <c:pt idx="2">
                  <c:v>19350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64065"/>
        <c:axId val="89014680"/>
      </c:lineChart>
      <c:catAx>
        <c:axId val="27640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14680"/>
        <c:crosses val="autoZero"/>
        <c:auto val="1"/>
        <c:lblAlgn val="ctr"/>
        <c:lblOffset val="100"/>
        <c:noMultiLvlLbl val="0"/>
      </c:catAx>
      <c:valAx>
        <c:axId val="890146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40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PivotTables!B12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PivotTables!$A$13:$A$16</c:f>
              <c:strCache>
                <c:ptCount val="4"/>
                <c:pt idx="0">
                  <c:v>Hot Beverages</c:v>
                </c:pt>
                <c:pt idx="1">
                  <c:v>Cold Beverages</c:v>
                </c:pt>
                <c:pt idx="2">
                  <c:v>Bakery</c:v>
                </c:pt>
                <c:pt idx="3">
                  <c:v>Snacks</c:v>
                </c:pt>
              </c:strCache>
            </c:strRef>
          </c:cat>
          <c:val>
            <c:numRef>
              <c:f>PivotTables!$B$13:$B$16</c:f>
              <c:numCache>
                <c:formatCode>#,##0</c:formatCode>
                <c:ptCount val="4"/>
                <c:pt idx="0">
                  <c:v>11960</c:v>
                </c:pt>
                <c:pt idx="1">
                  <c:v>14960</c:v>
                </c:pt>
                <c:pt idx="2">
                  <c:v>10750</c:v>
                </c:pt>
                <c:pt idx="3">
                  <c:v>9890</c:v>
                </c:pt>
              </c:numCache>
            </c:numRef>
          </c:val>
        </c:ser>
        <c:gapWidth val="150"/>
        <c:overlap val="0"/>
        <c:axId val="13516809"/>
        <c:axId val="42586945"/>
      </c:barChart>
      <c:catAx>
        <c:axId val="135168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86945"/>
        <c:crosses val="autoZero"/>
        <c:auto val="1"/>
        <c:lblAlgn val="ctr"/>
        <c:lblOffset val="100"/>
        <c:noMultiLvlLbl val="0"/>
      </c:catAx>
      <c:valAx>
        <c:axId val="425869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168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Outlet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PivotTables!B20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PivotTables!$A$21:$A$24</c:f>
              <c:strCache>
                <c:ptCount val="4"/>
                <c:pt idx="0">
                  <c:v>Koramangala</c:v>
                </c:pt>
                <c:pt idx="1">
                  <c:v>Indiranagar</c:v>
                </c:pt>
                <c:pt idx="2">
                  <c:v>Whitefield</c:v>
                </c:pt>
                <c:pt idx="3">
                  <c:v>HSR Layout</c:v>
                </c:pt>
              </c:strCache>
            </c:strRef>
          </c:cat>
          <c:val>
            <c:numRef>
              <c:f>PivotTables!$B$21:$B$24</c:f>
              <c:numCache>
                <c:formatCode>#,##0</c:formatCode>
                <c:ptCount val="4"/>
                <c:pt idx="0">
                  <c:v>12540</c:v>
                </c:pt>
                <c:pt idx="1">
                  <c:v>12210</c:v>
                </c:pt>
                <c:pt idx="2">
                  <c:v>12580</c:v>
                </c:pt>
                <c:pt idx="3">
                  <c:v>10230</c:v>
                </c:pt>
              </c:numCache>
            </c:numRef>
          </c:val>
        </c:ser>
        <c:gapWidth val="150"/>
        <c:overlap val="0"/>
        <c:axId val="69478631"/>
        <c:axId val="52699430"/>
      </c:barChart>
      <c:catAx>
        <c:axId val="69478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99430"/>
        <c:crosses val="autoZero"/>
        <c:auto val="1"/>
        <c:lblAlgn val="ctr"/>
        <c:lblOffset val="100"/>
        <c:noMultiLvlLbl val="0"/>
      </c:catAx>
      <c:valAx>
        <c:axId val="52699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786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PivotTables!B28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PivotTables!$A$29:$A$33</c:f>
              <c:strCache>
                <c:ptCount val="5"/>
                <c:pt idx="0">
                  <c:v>Frappe</c:v>
                </c:pt>
                <c:pt idx="1">
                  <c:v>Sandwich</c:v>
                </c:pt>
                <c:pt idx="2">
                  <c:v>Latte</c:v>
                </c:pt>
                <c:pt idx="3">
                  <c:v>Danish Pastry</c:v>
                </c:pt>
                <c:pt idx="4">
                  <c:v>Brownie</c:v>
                </c:pt>
              </c:strCache>
            </c:strRef>
          </c:cat>
          <c:val>
            <c:numRef>
              <c:f>PivotTables!$B$29:$B$33</c:f>
              <c:numCache>
                <c:formatCode>#,##0</c:formatCode>
                <c:ptCount val="5"/>
                <c:pt idx="0">
                  <c:v>6960</c:v>
                </c:pt>
                <c:pt idx="1">
                  <c:v>3800</c:v>
                </c:pt>
                <c:pt idx="2">
                  <c:v>3800</c:v>
                </c:pt>
                <c:pt idx="3">
                  <c:v>3520</c:v>
                </c:pt>
                <c:pt idx="4">
                  <c:v>3450</c:v>
                </c:pt>
              </c:numCache>
            </c:numRef>
          </c:val>
        </c:ser>
        <c:gapWidth val="150"/>
        <c:overlap val="0"/>
        <c:axId val="51771260"/>
        <c:axId val="82321605"/>
      </c:barChart>
      <c:catAx>
        <c:axId val="5177126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21605"/>
        <c:crosses val="autoZero"/>
        <c:auto val="1"/>
        <c:lblAlgn val="ctr"/>
        <c:lblOffset val="100"/>
        <c:noMultiLvlLbl val="0"/>
      </c:catAx>
      <c:valAx>
        <c:axId val="823216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712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PivotTables!B38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PivotTables!$A$39:$A$40</c:f>
              <c:strCache>
                <c:ptCount val="2"/>
                <c:pt idx="0">
                  <c:v>Completed</c:v>
                </c:pt>
                <c:pt idx="1">
                  <c:v>Cancelled</c:v>
                </c:pt>
              </c:strCache>
            </c:strRef>
          </c:cat>
          <c:val>
            <c:numRef>
              <c:f>PivotTables!$B$39:$B$40</c:f>
              <c:numCache>
                <c:formatCode>0</c:formatCode>
                <c:ptCount val="2"/>
                <c:pt idx="0">
                  <c:v>170</c:v>
                </c:pt>
                <c:pt idx="1">
                  <c:v>27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41400</xdr:rowOff>
    </xdr:from>
    <xdr:to>
      <xdr:col>7</xdr:col>
      <xdr:colOff>27720</xdr:colOff>
      <xdr:row>23</xdr:row>
      <xdr:rowOff>74160</xdr:rowOff>
    </xdr:to>
    <xdr:graphicFrame>
      <xdr:nvGraphicFramePr>
        <xdr:cNvPr id="0" name="Chart 1"/>
        <xdr:cNvGraphicFramePr/>
      </xdr:nvGraphicFramePr>
      <xdr:xfrm>
        <a:off x="611640" y="190512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9</xdr:row>
      <xdr:rowOff>41400</xdr:rowOff>
    </xdr:from>
    <xdr:to>
      <xdr:col>15</xdr:col>
      <xdr:colOff>191520</xdr:colOff>
      <xdr:row>23</xdr:row>
      <xdr:rowOff>74160</xdr:rowOff>
    </xdr:to>
    <xdr:graphicFrame>
      <xdr:nvGraphicFramePr>
        <xdr:cNvPr id="1" name="Chart 2"/>
        <xdr:cNvGraphicFramePr/>
      </xdr:nvGraphicFramePr>
      <xdr:xfrm>
        <a:off x="6814080" y="190512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41040</xdr:rowOff>
    </xdr:from>
    <xdr:to>
      <xdr:col>7</xdr:col>
      <xdr:colOff>27720</xdr:colOff>
      <xdr:row>39</xdr:row>
      <xdr:rowOff>73800</xdr:rowOff>
    </xdr:to>
    <xdr:graphicFrame>
      <xdr:nvGraphicFramePr>
        <xdr:cNvPr id="2" name="Chart 3"/>
        <xdr:cNvGraphicFramePr/>
      </xdr:nvGraphicFramePr>
      <xdr:xfrm>
        <a:off x="611640" y="49528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25</xdr:row>
      <xdr:rowOff>41040</xdr:rowOff>
    </xdr:from>
    <xdr:to>
      <xdr:col>15</xdr:col>
      <xdr:colOff>191520</xdr:colOff>
      <xdr:row>39</xdr:row>
      <xdr:rowOff>73800</xdr:rowOff>
    </xdr:to>
    <xdr:graphicFrame>
      <xdr:nvGraphicFramePr>
        <xdr:cNvPr id="3" name="Chart 4"/>
        <xdr:cNvGraphicFramePr/>
      </xdr:nvGraphicFramePr>
      <xdr:xfrm>
        <a:off x="6814080" y="49528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41</xdr:row>
      <xdr:rowOff>41400</xdr:rowOff>
    </xdr:from>
    <xdr:to>
      <xdr:col>6</xdr:col>
      <xdr:colOff>443160</xdr:colOff>
      <xdr:row>55</xdr:row>
      <xdr:rowOff>73800</xdr:rowOff>
    </xdr:to>
    <xdr:graphicFrame>
      <xdr:nvGraphicFramePr>
        <xdr:cNvPr id="4" name="Chart 5"/>
        <xdr:cNvGraphicFramePr/>
      </xdr:nvGraphicFramePr>
      <xdr:xfrm>
        <a:off x="611640" y="800100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35.05" hidden="false" customHeight="false" outlineLevel="0" collapsed="false">
      <c r="B5" s="3" t="s">
        <v>2</v>
      </c>
    </row>
    <row r="7" customFormat="false" ht="15" hidden="false" customHeight="false" outlineLevel="0" collapsed="false">
      <c r="B7" s="2" t="s">
        <v>3</v>
      </c>
    </row>
    <row r="8" customFormat="false" ht="35.05" hidden="false" customHeight="false" outlineLevel="0" collapsed="false">
      <c r="B8" s="3" t="s">
        <v>4</v>
      </c>
    </row>
    <row r="10" customFormat="false" ht="15" hidden="false" customHeight="false" outlineLevel="0" collapsed="false">
      <c r="B10" s="2" t="s">
        <v>5</v>
      </c>
    </row>
    <row r="11" customFormat="false" ht="15" hidden="false" customHeight="false" outlineLevel="0" collapsed="false">
      <c r="B11" s="3" t="s">
        <v>6</v>
      </c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3" t="s">
        <v>13</v>
      </c>
    </row>
    <row r="20" customFormat="false" ht="15" hidden="false" customHeight="false" outlineLevel="0" collapsed="false">
      <c r="B20" s="2" t="s">
        <v>14</v>
      </c>
    </row>
    <row r="21" customFormat="false" ht="15" hidden="false" customHeight="false" outlineLevel="0" collapsed="false">
      <c r="B21" s="4" t="s">
        <v>15</v>
      </c>
    </row>
    <row r="22" customFormat="false" ht="15" hidden="false" customHeight="false" outlineLevel="0" collapsed="false">
      <c r="B22" s="3" t="s">
        <v>16</v>
      </c>
    </row>
    <row r="24" customFormat="false" ht="15" hidden="false" customHeight="false" outlineLevel="0" collapsed="false">
      <c r="B24" s="4" t="s">
        <v>17</v>
      </c>
    </row>
    <row r="25" customFormat="false" ht="35.05" hidden="false" customHeight="false" outlineLevel="0" collapsed="false">
      <c r="B25" s="3" t="s">
        <v>18</v>
      </c>
    </row>
    <row r="27" customFormat="false" ht="15" hidden="false" customHeight="false" outlineLevel="0" collapsed="false">
      <c r="B27" s="4" t="s">
        <v>19</v>
      </c>
    </row>
    <row r="28" customFormat="false" ht="23.85" hidden="false" customHeight="false" outlineLevel="0" collapsed="false">
      <c r="B28" s="3" t="s">
        <v>20</v>
      </c>
    </row>
    <row r="30" customFormat="false" ht="15" hidden="false" customHeight="false" outlineLevel="0" collapsed="false">
      <c r="B30" s="4" t="s">
        <v>21</v>
      </c>
    </row>
    <row r="31" customFormat="false" ht="23.85" hidden="false" customHeight="false" outlineLevel="0" collapsed="false">
      <c r="B31" s="3" t="s">
        <v>22</v>
      </c>
    </row>
    <row r="33" customFormat="false" ht="15" hidden="false" customHeight="false" outlineLevel="0" collapsed="false">
      <c r="B33" s="4" t="s">
        <v>23</v>
      </c>
    </row>
    <row r="34" customFormat="false" ht="23.85" hidden="false" customHeight="false" outlineLevel="0" collapsed="false">
      <c r="B34" s="3" t="s">
        <v>24</v>
      </c>
    </row>
    <row r="36" customFormat="false" ht="15" hidden="false" customHeight="false" outlineLevel="0" collapsed="false">
      <c r="B36" s="2" t="s">
        <v>25</v>
      </c>
    </row>
    <row r="37" customFormat="false" ht="68.65" hidden="false" customHeight="false" outlineLevel="0" collapsed="false">
      <c r="B37" s="3" t="s">
        <v>26</v>
      </c>
    </row>
    <row r="39" customFormat="false" ht="15" hidden="false" customHeight="false" outlineLevel="0" collapsed="false">
      <c r="B39" s="2" t="s">
        <v>27</v>
      </c>
    </row>
    <row r="40" customFormat="false" ht="35.05" hidden="false" customHeight="false" outlineLevel="0" collapsed="false">
      <c r="B40" s="3" t="s">
        <v>28</v>
      </c>
    </row>
    <row r="42" customFormat="false" ht="15" hidden="false" customHeight="false" outlineLevel="0" collapsed="false">
      <c r="B42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5"/>
    <col collapsed="false" customWidth="true" hidden="false" outlineLevel="0" max="10" min="10" style="0" width="13"/>
  </cols>
  <sheetData>
    <row r="1" customFormat="false" ht="15" hidden="false" customHeight="false" outlineLevel="0" collapsed="false">
      <c r="A1" s="6" t="s">
        <v>30</v>
      </c>
      <c r="B1" s="6"/>
      <c r="C1" s="6"/>
      <c r="D1" s="6"/>
      <c r="E1" s="6"/>
      <c r="F1" s="6"/>
      <c r="G1" s="6"/>
      <c r="H1" s="6"/>
      <c r="I1" s="6"/>
      <c r="J1" s="6"/>
    </row>
    <row r="2" customFormat="false" ht="15" hidden="false" customHeight="false" outlineLevel="0" collapsed="false">
      <c r="A2" s="7" t="s">
        <v>31</v>
      </c>
      <c r="B2" s="7"/>
      <c r="C2" s="7"/>
      <c r="D2" s="7"/>
      <c r="E2" s="7"/>
      <c r="F2" s="7"/>
      <c r="G2" s="7"/>
      <c r="H2" s="7"/>
      <c r="I2" s="7"/>
      <c r="J2" s="7"/>
    </row>
    <row r="4" customFormat="false" ht="26.85" hidden="false" customHeight="false" outlineLevel="0" collapsed="false">
      <c r="A4" s="8" t="s">
        <v>32</v>
      </c>
      <c r="B4" s="8" t="s">
        <v>33</v>
      </c>
      <c r="C4" s="8" t="s">
        <v>34</v>
      </c>
      <c r="D4" s="8" t="s">
        <v>35</v>
      </c>
      <c r="E4" s="8" t="s">
        <v>36</v>
      </c>
      <c r="F4" s="8" t="s">
        <v>37</v>
      </c>
      <c r="G4" s="8" t="s">
        <v>38</v>
      </c>
      <c r="H4" s="8" t="s">
        <v>39</v>
      </c>
      <c r="I4" s="8" t="s">
        <v>40</v>
      </c>
      <c r="J4" s="8" t="s">
        <v>41</v>
      </c>
    </row>
    <row r="5" customFormat="false" ht="15" hidden="false" customHeight="false" outlineLevel="0" collapsed="false">
      <c r="A5" s="9" t="s">
        <v>42</v>
      </c>
      <c r="B5" s="10" t="n">
        <v>46214</v>
      </c>
      <c r="C5" s="9" t="s">
        <v>43</v>
      </c>
      <c r="D5" s="9" t="s">
        <v>44</v>
      </c>
      <c r="E5" s="9" t="s">
        <v>45</v>
      </c>
      <c r="F5" s="9" t="n">
        <v>1</v>
      </c>
      <c r="G5" s="9" t="n">
        <v>160</v>
      </c>
      <c r="H5" s="9" t="n">
        <v>78</v>
      </c>
      <c r="I5" s="9" t="s">
        <v>46</v>
      </c>
      <c r="J5" s="9" t="s">
        <v>47</v>
      </c>
    </row>
    <row r="6" customFormat="false" ht="15" hidden="false" customHeight="false" outlineLevel="0" collapsed="false">
      <c r="A6" s="9" t="s">
        <v>48</v>
      </c>
      <c r="B6" s="10" t="n">
        <v>46179</v>
      </c>
      <c r="C6" s="9" t="s">
        <v>43</v>
      </c>
      <c r="D6" s="9" t="s">
        <v>49</v>
      </c>
      <c r="E6" s="9" t="s">
        <v>45</v>
      </c>
      <c r="F6" s="9" t="n">
        <v>1</v>
      </c>
      <c r="G6" s="9" t="n">
        <v>130</v>
      </c>
      <c r="H6" s="9" t="n">
        <v>57</v>
      </c>
      <c r="I6" s="9" t="s">
        <v>50</v>
      </c>
      <c r="J6" s="9" t="s">
        <v>51</v>
      </c>
    </row>
    <row r="7" customFormat="false" ht="15" hidden="false" customHeight="false" outlineLevel="0" collapsed="false">
      <c r="A7" s="9" t="s">
        <v>52</v>
      </c>
      <c r="B7" s="10" t="n">
        <v>46190</v>
      </c>
      <c r="C7" s="9" t="s">
        <v>53</v>
      </c>
      <c r="D7" s="9" t="s">
        <v>54</v>
      </c>
      <c r="E7" s="9" t="s">
        <v>55</v>
      </c>
      <c r="F7" s="9" t="n">
        <v>3</v>
      </c>
      <c r="G7" s="9" t="n">
        <v>80</v>
      </c>
      <c r="H7" s="9" t="n">
        <v>125</v>
      </c>
      <c r="I7" s="9" t="s">
        <v>56</v>
      </c>
      <c r="J7" s="9" t="s">
        <v>51</v>
      </c>
    </row>
    <row r="8" customFormat="false" ht="15" hidden="false" customHeight="false" outlineLevel="0" collapsed="false">
      <c r="A8" s="9" t="s">
        <v>57</v>
      </c>
      <c r="B8" s="10" t="n">
        <v>46242</v>
      </c>
      <c r="C8" s="9" t="s">
        <v>43</v>
      </c>
      <c r="D8" s="9" t="s">
        <v>58</v>
      </c>
      <c r="E8" s="9" t="s">
        <v>45</v>
      </c>
      <c r="F8" s="9" t="n">
        <v>2</v>
      </c>
      <c r="G8" s="9" t="n">
        <v>150</v>
      </c>
      <c r="H8" s="9" t="n">
        <v>123</v>
      </c>
      <c r="I8" s="9" t="s">
        <v>50</v>
      </c>
      <c r="J8" s="9" t="s">
        <v>51</v>
      </c>
    </row>
    <row r="9" customFormat="false" ht="15" hidden="false" customHeight="false" outlineLevel="0" collapsed="false">
      <c r="A9" s="9" t="s">
        <v>59</v>
      </c>
      <c r="B9" s="10" t="n">
        <v>46193</v>
      </c>
      <c r="C9" s="9" t="s">
        <v>60</v>
      </c>
      <c r="D9" s="9" t="s">
        <v>61</v>
      </c>
      <c r="E9" s="9" t="s">
        <v>62</v>
      </c>
      <c r="F9" s="9" t="n">
        <v>1</v>
      </c>
      <c r="G9" s="9" t="n">
        <v>170</v>
      </c>
      <c r="H9" s="9" t="n">
        <v>62</v>
      </c>
      <c r="I9" s="9" t="s">
        <v>50</v>
      </c>
      <c r="J9" s="9" t="s">
        <v>51</v>
      </c>
    </row>
    <row r="10" customFormat="false" ht="15" hidden="false" customHeight="false" outlineLevel="0" collapsed="false">
      <c r="A10" s="9" t="s">
        <v>63</v>
      </c>
      <c r="B10" s="10" t="n">
        <v>46233</v>
      </c>
      <c r="C10" s="9" t="s">
        <v>64</v>
      </c>
      <c r="D10" s="9" t="s">
        <v>58</v>
      </c>
      <c r="E10" s="9" t="s">
        <v>45</v>
      </c>
      <c r="F10" s="9" t="n">
        <v>1</v>
      </c>
      <c r="G10" s="9" t="n">
        <v>150</v>
      </c>
      <c r="H10" s="9" t="n">
        <v>74</v>
      </c>
      <c r="I10" s="9" t="s">
        <v>46</v>
      </c>
      <c r="J10" s="9" t="s">
        <v>51</v>
      </c>
    </row>
    <row r="11" customFormat="false" ht="15" hidden="false" customHeight="false" outlineLevel="0" collapsed="false">
      <c r="A11" s="9" t="s">
        <v>65</v>
      </c>
      <c r="B11" s="10" t="n">
        <v>46262</v>
      </c>
      <c r="C11" s="9" t="s">
        <v>66</v>
      </c>
      <c r="D11" s="9" t="s">
        <v>67</v>
      </c>
      <c r="E11" s="9" t="s">
        <v>55</v>
      </c>
      <c r="F11" s="9" t="n">
        <v>3</v>
      </c>
      <c r="G11" s="9" t="n">
        <v>190</v>
      </c>
      <c r="H11" s="9" t="n">
        <v>259</v>
      </c>
      <c r="I11" s="9" t="s">
        <v>50</v>
      </c>
      <c r="J11" s="9" t="s">
        <v>51</v>
      </c>
    </row>
    <row r="12" customFormat="false" ht="15" hidden="false" customHeight="false" outlineLevel="0" collapsed="false">
      <c r="A12" s="9" t="s">
        <v>68</v>
      </c>
      <c r="B12" s="10" t="n">
        <v>46204</v>
      </c>
      <c r="C12" s="9" t="s">
        <v>60</v>
      </c>
      <c r="D12" s="9" t="s">
        <v>69</v>
      </c>
      <c r="E12" s="9" t="s">
        <v>55</v>
      </c>
      <c r="F12" s="9" t="n">
        <v>2</v>
      </c>
      <c r="G12" s="9" t="n">
        <v>150</v>
      </c>
      <c r="H12" s="9" t="n">
        <v>141</v>
      </c>
      <c r="I12" s="9" t="s">
        <v>50</v>
      </c>
      <c r="J12" s="9" t="s">
        <v>51</v>
      </c>
    </row>
    <row r="13" customFormat="false" ht="15" hidden="false" customHeight="false" outlineLevel="0" collapsed="false">
      <c r="A13" s="9" t="s">
        <v>70</v>
      </c>
      <c r="B13" s="10" t="n">
        <v>46198</v>
      </c>
      <c r="C13" s="9" t="s">
        <v>60</v>
      </c>
      <c r="D13" s="9" t="s">
        <v>71</v>
      </c>
      <c r="E13" s="9" t="s">
        <v>62</v>
      </c>
      <c r="F13" s="9" t="n">
        <v>1</v>
      </c>
      <c r="G13" s="9" t="n">
        <v>150</v>
      </c>
      <c r="H13" s="9" t="n">
        <v>67</v>
      </c>
      <c r="I13" s="9" t="s">
        <v>50</v>
      </c>
      <c r="J13" s="9" t="s">
        <v>51</v>
      </c>
    </row>
    <row r="14" customFormat="false" ht="15" hidden="false" customHeight="false" outlineLevel="0" collapsed="false">
      <c r="A14" s="9" t="s">
        <v>72</v>
      </c>
      <c r="B14" s="10" t="n">
        <v>46255</v>
      </c>
      <c r="C14" s="9" t="s">
        <v>43</v>
      </c>
      <c r="D14" s="9" t="s">
        <v>73</v>
      </c>
      <c r="E14" s="9" t="s">
        <v>45</v>
      </c>
      <c r="F14" s="9" t="n">
        <v>2</v>
      </c>
      <c r="G14" s="9" t="n">
        <v>140</v>
      </c>
      <c r="H14" s="9" t="n">
        <v>116</v>
      </c>
      <c r="I14" s="9"/>
      <c r="J14" s="9" t="s">
        <v>51</v>
      </c>
    </row>
    <row r="15" customFormat="false" ht="15" hidden="false" customHeight="false" outlineLevel="0" collapsed="false">
      <c r="A15" s="9" t="s">
        <v>74</v>
      </c>
      <c r="B15" s="10" t="n">
        <v>46255</v>
      </c>
      <c r="C15" s="9" t="s">
        <v>60</v>
      </c>
      <c r="D15" s="9" t="s">
        <v>58</v>
      </c>
      <c r="E15" s="9" t="s">
        <v>45</v>
      </c>
      <c r="F15" s="9" t="n">
        <v>2</v>
      </c>
      <c r="G15" s="9" t="n">
        <v>150</v>
      </c>
      <c r="H15" s="9" t="n">
        <v>137</v>
      </c>
      <c r="I15" s="9" t="s">
        <v>50</v>
      </c>
      <c r="J15" s="9" t="s">
        <v>51</v>
      </c>
    </row>
    <row r="16" customFormat="false" ht="15" hidden="false" customHeight="false" outlineLevel="0" collapsed="false">
      <c r="A16" s="9" t="s">
        <v>75</v>
      </c>
      <c r="B16" s="10" t="n">
        <v>46238</v>
      </c>
      <c r="C16" s="9" t="s">
        <v>76</v>
      </c>
      <c r="D16" s="9" t="s">
        <v>77</v>
      </c>
      <c r="E16" s="9" t="s">
        <v>78</v>
      </c>
      <c r="F16" s="9" t="n">
        <v>2</v>
      </c>
      <c r="G16" s="9" t="n">
        <v>150</v>
      </c>
      <c r="H16" s="9" t="n">
        <v>130</v>
      </c>
      <c r="I16" s="9" t="s">
        <v>50</v>
      </c>
      <c r="J16" s="9" t="s">
        <v>47</v>
      </c>
    </row>
    <row r="17" customFormat="false" ht="15" hidden="false" customHeight="false" outlineLevel="0" collapsed="false">
      <c r="A17" s="9" t="s">
        <v>79</v>
      </c>
      <c r="B17" s="10" t="n">
        <v>46213</v>
      </c>
      <c r="C17" s="9" t="s">
        <v>43</v>
      </c>
      <c r="D17" s="9" t="s">
        <v>80</v>
      </c>
      <c r="E17" s="9" t="s">
        <v>62</v>
      </c>
      <c r="F17" s="9" t="n">
        <v>1</v>
      </c>
      <c r="G17" s="9" t="n">
        <v>180</v>
      </c>
      <c r="H17" s="9" t="n">
        <v>79</v>
      </c>
      <c r="I17" s="9" t="s">
        <v>46</v>
      </c>
      <c r="J17" s="9" t="s">
        <v>51</v>
      </c>
    </row>
    <row r="18" customFormat="false" ht="15" hidden="false" customHeight="false" outlineLevel="0" collapsed="false">
      <c r="A18" s="9" t="s">
        <v>81</v>
      </c>
      <c r="B18" s="10" t="n">
        <v>46255</v>
      </c>
      <c r="C18" s="9" t="s">
        <v>66</v>
      </c>
      <c r="D18" s="9" t="s">
        <v>44</v>
      </c>
      <c r="E18" s="9" t="s">
        <v>45</v>
      </c>
      <c r="F18" s="9" t="n">
        <v>2</v>
      </c>
      <c r="G18" s="9" t="n">
        <v>160</v>
      </c>
      <c r="H18" s="9" t="n">
        <v>136</v>
      </c>
      <c r="I18" s="9" t="s">
        <v>50</v>
      </c>
      <c r="J18" s="9" t="s">
        <v>51</v>
      </c>
    </row>
    <row r="19" customFormat="false" ht="15" hidden="false" customHeight="false" outlineLevel="0" collapsed="false">
      <c r="A19" s="9" t="s">
        <v>82</v>
      </c>
      <c r="B19" s="10" t="n">
        <v>46221</v>
      </c>
      <c r="C19" s="9" t="s">
        <v>83</v>
      </c>
      <c r="D19" s="9" t="s">
        <v>80</v>
      </c>
      <c r="E19" s="9" t="s">
        <v>62</v>
      </c>
      <c r="F19" s="9" t="n">
        <v>3</v>
      </c>
      <c r="G19" s="9" t="n">
        <v>180</v>
      </c>
      <c r="H19" s="9" t="n">
        <v>223</v>
      </c>
      <c r="I19" s="9" t="s">
        <v>56</v>
      </c>
      <c r="J19" s="9" t="s">
        <v>47</v>
      </c>
    </row>
    <row r="20" customFormat="false" ht="15" hidden="false" customHeight="false" outlineLevel="0" collapsed="false">
      <c r="A20" s="9" t="s">
        <v>84</v>
      </c>
      <c r="B20" s="10" t="n">
        <v>46214</v>
      </c>
      <c r="C20" s="9" t="s">
        <v>43</v>
      </c>
      <c r="D20" s="9" t="s">
        <v>85</v>
      </c>
      <c r="E20" s="9" t="s">
        <v>62</v>
      </c>
      <c r="F20" s="9" t="n">
        <v>2</v>
      </c>
      <c r="G20" s="9" t="n">
        <v>190</v>
      </c>
      <c r="H20" s="9" t="n">
        <v>167</v>
      </c>
      <c r="I20" s="9" t="s">
        <v>46</v>
      </c>
      <c r="J20" s="9" t="s">
        <v>51</v>
      </c>
    </row>
    <row r="21" customFormat="false" ht="15" hidden="false" customHeight="false" outlineLevel="0" collapsed="false">
      <c r="A21" s="9" t="s">
        <v>86</v>
      </c>
      <c r="B21" s="10" t="n">
        <v>46244</v>
      </c>
      <c r="C21" s="9" t="s">
        <v>60</v>
      </c>
      <c r="D21" s="9" t="s">
        <v>87</v>
      </c>
      <c r="E21" s="9" t="s">
        <v>78</v>
      </c>
      <c r="F21" s="9" t="n">
        <v>4</v>
      </c>
      <c r="G21" s="9" t="n">
        <v>220</v>
      </c>
      <c r="H21" s="9" t="n">
        <v>412</v>
      </c>
      <c r="I21" s="9" t="s">
        <v>56</v>
      </c>
      <c r="J21" s="9" t="s">
        <v>51</v>
      </c>
    </row>
    <row r="22" customFormat="false" ht="15" hidden="false" customHeight="false" outlineLevel="0" collapsed="false">
      <c r="A22" s="9" t="s">
        <v>88</v>
      </c>
      <c r="B22" s="10" t="n">
        <v>46200</v>
      </c>
      <c r="C22" s="9" t="s">
        <v>83</v>
      </c>
      <c r="D22" s="9" t="s">
        <v>89</v>
      </c>
      <c r="E22" s="9" t="s">
        <v>78</v>
      </c>
      <c r="F22" s="9" t="n">
        <v>2</v>
      </c>
      <c r="G22" s="9" t="n">
        <v>240</v>
      </c>
      <c r="H22" s="9" t="n">
        <v>198</v>
      </c>
      <c r="I22" s="9" t="s">
        <v>46</v>
      </c>
      <c r="J22" s="9" t="s">
        <v>51</v>
      </c>
    </row>
    <row r="23" customFormat="false" ht="15" hidden="false" customHeight="false" outlineLevel="0" collapsed="false">
      <c r="A23" s="9" t="s">
        <v>90</v>
      </c>
      <c r="B23" s="10" t="n">
        <v>46178</v>
      </c>
      <c r="C23" s="9" t="s">
        <v>60</v>
      </c>
      <c r="D23" s="9" t="s">
        <v>61</v>
      </c>
      <c r="E23" s="9" t="s">
        <v>62</v>
      </c>
      <c r="F23" s="9" t="n">
        <v>2</v>
      </c>
      <c r="G23" s="9" t="n">
        <v>170</v>
      </c>
      <c r="H23" s="9" t="n">
        <v>137</v>
      </c>
      <c r="I23" s="9" t="s">
        <v>50</v>
      </c>
      <c r="J23" s="9" t="s">
        <v>51</v>
      </c>
    </row>
    <row r="24" customFormat="false" ht="15" hidden="false" customHeight="false" outlineLevel="0" collapsed="false">
      <c r="A24" s="9" t="s">
        <v>91</v>
      </c>
      <c r="B24" s="10" t="n">
        <v>46224</v>
      </c>
      <c r="C24" s="9" t="s">
        <v>83</v>
      </c>
      <c r="D24" s="9" t="s">
        <v>69</v>
      </c>
      <c r="E24" s="9" t="s">
        <v>55</v>
      </c>
      <c r="F24" s="9" t="n">
        <v>1</v>
      </c>
      <c r="G24" s="9" t="n">
        <v>150</v>
      </c>
      <c r="H24" s="9" t="n">
        <v>72</v>
      </c>
      <c r="I24" s="9" t="s">
        <v>50</v>
      </c>
      <c r="J24" s="9" t="s">
        <v>47</v>
      </c>
    </row>
    <row r="25" customFormat="false" ht="15" hidden="false" customHeight="false" outlineLevel="0" collapsed="false">
      <c r="A25" s="9" t="s">
        <v>92</v>
      </c>
      <c r="B25" s="9" t="s">
        <v>93</v>
      </c>
      <c r="C25" s="9" t="s">
        <v>66</v>
      </c>
      <c r="D25" s="9" t="s">
        <v>73</v>
      </c>
      <c r="E25" s="9" t="s">
        <v>45</v>
      </c>
      <c r="F25" s="9" t="n">
        <v>2</v>
      </c>
      <c r="G25" s="9" t="n">
        <v>140</v>
      </c>
      <c r="H25" s="9" t="n">
        <v>119</v>
      </c>
      <c r="I25" s="9" t="s">
        <v>50</v>
      </c>
      <c r="J25" s="9" t="s">
        <v>51</v>
      </c>
    </row>
    <row r="26" customFormat="false" ht="15" hidden="false" customHeight="false" outlineLevel="0" collapsed="false">
      <c r="A26" s="9" t="s">
        <v>94</v>
      </c>
      <c r="B26" s="10" t="n">
        <v>46192</v>
      </c>
      <c r="C26" s="9" t="s">
        <v>60</v>
      </c>
      <c r="D26" s="9" t="s">
        <v>77</v>
      </c>
      <c r="E26" s="9" t="s">
        <v>78</v>
      </c>
      <c r="F26" s="9" t="n">
        <v>2</v>
      </c>
      <c r="G26" s="9" t="n">
        <v>150</v>
      </c>
      <c r="H26" s="9" t="n">
        <v>135</v>
      </c>
      <c r="I26" s="9" t="s">
        <v>46</v>
      </c>
      <c r="J26" s="9" t="s">
        <v>51</v>
      </c>
    </row>
    <row r="27" customFormat="false" ht="15" hidden="false" customHeight="false" outlineLevel="0" collapsed="false">
      <c r="A27" s="9" t="s">
        <v>95</v>
      </c>
      <c r="B27" s="10" t="n">
        <v>46215</v>
      </c>
      <c r="C27" s="9" t="s">
        <v>83</v>
      </c>
      <c r="D27" s="9" t="s">
        <v>96</v>
      </c>
      <c r="E27" s="9" t="s">
        <v>62</v>
      </c>
      <c r="F27" s="9" t="n">
        <v>3</v>
      </c>
      <c r="G27" s="9" t="n">
        <v>120</v>
      </c>
      <c r="H27" s="9" t="n">
        <v>128</v>
      </c>
      <c r="I27" s="9" t="s">
        <v>50</v>
      </c>
      <c r="J27" s="9" t="s">
        <v>51</v>
      </c>
    </row>
    <row r="28" customFormat="false" ht="15" hidden="false" customHeight="false" outlineLevel="0" collapsed="false">
      <c r="A28" s="9" t="s">
        <v>97</v>
      </c>
      <c r="B28" s="10" t="n">
        <v>46198</v>
      </c>
      <c r="C28" s="9" t="s">
        <v>43</v>
      </c>
      <c r="D28" s="9" t="s">
        <v>85</v>
      </c>
      <c r="E28" s="9" t="s">
        <v>62</v>
      </c>
      <c r="F28" s="9" t="n">
        <v>2</v>
      </c>
      <c r="G28" s="9" t="n">
        <v>190</v>
      </c>
      <c r="H28" s="9" t="n">
        <v>145</v>
      </c>
      <c r="I28" s="9" t="s">
        <v>50</v>
      </c>
      <c r="J28" s="9" t="s">
        <v>51</v>
      </c>
    </row>
    <row r="29" customFormat="false" ht="15" hidden="false" customHeight="false" outlineLevel="0" collapsed="false">
      <c r="A29" s="9" t="s">
        <v>98</v>
      </c>
      <c r="B29" s="10" t="n">
        <v>46263</v>
      </c>
      <c r="C29" s="9" t="s">
        <v>43</v>
      </c>
      <c r="D29" s="9" t="s">
        <v>99</v>
      </c>
      <c r="E29" s="9" t="s">
        <v>45</v>
      </c>
      <c r="F29" s="9" t="n">
        <v>1</v>
      </c>
      <c r="G29" s="9" t="n">
        <v>130</v>
      </c>
      <c r="H29" s="9" t="n">
        <v>58</v>
      </c>
      <c r="I29" s="9" t="s">
        <v>50</v>
      </c>
      <c r="J29" s="9" t="s">
        <v>47</v>
      </c>
    </row>
    <row r="30" customFormat="false" ht="15" hidden="false" customHeight="false" outlineLevel="0" collapsed="false">
      <c r="A30" s="9" t="s">
        <v>100</v>
      </c>
      <c r="B30" s="10" t="n">
        <v>46185</v>
      </c>
      <c r="C30" s="9" t="s">
        <v>83</v>
      </c>
      <c r="D30" s="9" t="s">
        <v>80</v>
      </c>
      <c r="E30" s="9" t="s">
        <v>101</v>
      </c>
      <c r="F30" s="9" t="n">
        <v>1</v>
      </c>
      <c r="G30" s="9" t="n">
        <v>180</v>
      </c>
      <c r="H30" s="9" t="n">
        <v>68</v>
      </c>
      <c r="I30" s="9" t="s">
        <v>50</v>
      </c>
      <c r="J30" s="9" t="s">
        <v>51</v>
      </c>
    </row>
    <row r="31" customFormat="false" ht="15" hidden="false" customHeight="false" outlineLevel="0" collapsed="false">
      <c r="A31" s="9" t="s">
        <v>102</v>
      </c>
      <c r="B31" s="10" t="n">
        <v>46251</v>
      </c>
      <c r="C31" s="9" t="s">
        <v>43</v>
      </c>
      <c r="D31" s="9" t="s">
        <v>58</v>
      </c>
      <c r="E31" s="9" t="s">
        <v>45</v>
      </c>
      <c r="F31" s="9" t="n">
        <v>2</v>
      </c>
      <c r="G31" s="9" t="n">
        <v>150</v>
      </c>
      <c r="H31" s="9" t="n">
        <v>139</v>
      </c>
      <c r="I31" s="9" t="s">
        <v>56</v>
      </c>
      <c r="J31" s="9" t="s">
        <v>51</v>
      </c>
    </row>
    <row r="32" customFormat="false" ht="15" hidden="false" customHeight="false" outlineLevel="0" collapsed="false">
      <c r="A32" s="9" t="s">
        <v>103</v>
      </c>
      <c r="B32" s="10" t="n">
        <v>46254</v>
      </c>
      <c r="C32" s="9" t="s">
        <v>64</v>
      </c>
      <c r="D32" s="9" t="s">
        <v>85</v>
      </c>
      <c r="E32" s="9" t="s">
        <v>62</v>
      </c>
      <c r="F32" s="9" t="n">
        <v>1</v>
      </c>
      <c r="G32" s="9" t="n">
        <v>190</v>
      </c>
      <c r="H32" s="9" t="n">
        <v>75</v>
      </c>
      <c r="I32" s="9" t="s">
        <v>56</v>
      </c>
      <c r="J32" s="9" t="s">
        <v>51</v>
      </c>
    </row>
    <row r="33" customFormat="false" ht="15" hidden="false" customHeight="false" outlineLevel="0" collapsed="false">
      <c r="A33" s="9" t="s">
        <v>104</v>
      </c>
      <c r="B33" s="10" t="n">
        <v>46181</v>
      </c>
      <c r="C33" s="9" t="s">
        <v>43</v>
      </c>
      <c r="D33" s="9" t="s">
        <v>89</v>
      </c>
      <c r="E33" s="9" t="s">
        <v>105</v>
      </c>
      <c r="F33" s="9" t="n">
        <v>2</v>
      </c>
      <c r="G33" s="9" t="n">
        <v>240</v>
      </c>
      <c r="H33" s="9" t="n">
        <v>210</v>
      </c>
      <c r="I33" s="9" t="s">
        <v>50</v>
      </c>
      <c r="J33" s="9" t="s">
        <v>51</v>
      </c>
    </row>
    <row r="34" customFormat="false" ht="15" hidden="false" customHeight="false" outlineLevel="0" collapsed="false">
      <c r="A34" s="9" t="s">
        <v>106</v>
      </c>
      <c r="B34" s="10" t="n">
        <v>46221</v>
      </c>
      <c r="C34" s="9" t="s">
        <v>43</v>
      </c>
      <c r="D34" s="9" t="s">
        <v>73</v>
      </c>
      <c r="E34" s="9" t="s">
        <v>45</v>
      </c>
      <c r="F34" s="9" t="n">
        <v>1</v>
      </c>
      <c r="G34" s="9" t="n">
        <v>140</v>
      </c>
      <c r="H34" s="9" t="n">
        <v>57</v>
      </c>
      <c r="I34" s="9" t="s">
        <v>46</v>
      </c>
      <c r="J34" s="9" t="s">
        <v>51</v>
      </c>
    </row>
    <row r="35" customFormat="false" ht="15" hidden="false" customHeight="false" outlineLevel="0" collapsed="false">
      <c r="A35" s="9" t="s">
        <v>107</v>
      </c>
      <c r="B35" s="10" t="n">
        <v>46200</v>
      </c>
      <c r="C35" s="9" t="s">
        <v>83</v>
      </c>
      <c r="D35" s="9" t="s">
        <v>108</v>
      </c>
      <c r="E35" s="9" t="s">
        <v>78</v>
      </c>
      <c r="F35" s="9" t="n">
        <v>1</v>
      </c>
      <c r="G35" s="9" t="n">
        <v>220</v>
      </c>
      <c r="H35" s="9" t="n">
        <v>97</v>
      </c>
      <c r="I35" s="9" t="s">
        <v>50</v>
      </c>
      <c r="J35" s="9" t="s">
        <v>51</v>
      </c>
    </row>
    <row r="36" customFormat="false" ht="15" hidden="false" customHeight="false" outlineLevel="0" collapsed="false">
      <c r="A36" s="9" t="s">
        <v>109</v>
      </c>
      <c r="B36" s="10" t="n">
        <v>46223</v>
      </c>
      <c r="C36" s="9" t="s">
        <v>83</v>
      </c>
      <c r="D36" s="9" t="s">
        <v>110</v>
      </c>
      <c r="E36" s="9" t="s">
        <v>78</v>
      </c>
      <c r="F36" s="9" t="n">
        <v>1</v>
      </c>
      <c r="G36" s="9" t="n">
        <v>200</v>
      </c>
      <c r="H36" s="9" t="n">
        <v>93</v>
      </c>
      <c r="I36" s="9" t="s">
        <v>50</v>
      </c>
      <c r="J36" s="9" t="s">
        <v>47</v>
      </c>
    </row>
    <row r="37" customFormat="false" ht="15" hidden="false" customHeight="false" outlineLevel="0" collapsed="false">
      <c r="A37" s="9" t="s">
        <v>97</v>
      </c>
      <c r="B37" s="10" t="n">
        <v>46198</v>
      </c>
      <c r="C37" s="9" t="s">
        <v>43</v>
      </c>
      <c r="D37" s="9" t="s">
        <v>85</v>
      </c>
      <c r="E37" s="9" t="s">
        <v>62</v>
      </c>
      <c r="F37" s="9" t="n">
        <v>2</v>
      </c>
      <c r="G37" s="9" t="n">
        <v>190</v>
      </c>
      <c r="H37" s="9" t="n">
        <v>145</v>
      </c>
      <c r="I37" s="9" t="s">
        <v>50</v>
      </c>
      <c r="J37" s="9" t="s">
        <v>51</v>
      </c>
    </row>
    <row r="38" customFormat="false" ht="15" hidden="false" customHeight="false" outlineLevel="0" collapsed="false">
      <c r="A38" s="9" t="s">
        <v>111</v>
      </c>
      <c r="B38" s="10" t="n">
        <v>46233</v>
      </c>
      <c r="C38" s="9" t="s">
        <v>83</v>
      </c>
      <c r="D38" s="9" t="s">
        <v>69</v>
      </c>
      <c r="E38" s="9" t="s">
        <v>112</v>
      </c>
      <c r="F38" s="9" t="n">
        <v>1</v>
      </c>
      <c r="G38" s="9" t="n">
        <v>150</v>
      </c>
      <c r="H38" s="9" t="n">
        <v>66</v>
      </c>
      <c r="I38" s="9" t="s">
        <v>46</v>
      </c>
      <c r="J38" s="9" t="s">
        <v>51</v>
      </c>
    </row>
    <row r="39" customFormat="false" ht="15" hidden="false" customHeight="false" outlineLevel="0" collapsed="false">
      <c r="A39" s="9" t="s">
        <v>113</v>
      </c>
      <c r="B39" s="9" t="s">
        <v>114</v>
      </c>
      <c r="C39" s="9" t="s">
        <v>43</v>
      </c>
      <c r="D39" s="9" t="s">
        <v>73</v>
      </c>
      <c r="E39" s="9" t="s">
        <v>45</v>
      </c>
      <c r="F39" s="9" t="n">
        <v>2</v>
      </c>
      <c r="G39" s="9" t="n">
        <v>140</v>
      </c>
      <c r="H39" s="9" t="n">
        <v>132</v>
      </c>
      <c r="I39" s="9" t="s">
        <v>50</v>
      </c>
      <c r="J39" s="9" t="s">
        <v>51</v>
      </c>
    </row>
    <row r="40" customFormat="false" ht="15" hidden="false" customHeight="false" outlineLevel="0" collapsed="false">
      <c r="A40" s="9" t="s">
        <v>115</v>
      </c>
      <c r="B40" s="10" t="n">
        <v>46255</v>
      </c>
      <c r="C40" s="9" t="s">
        <v>66</v>
      </c>
      <c r="D40" s="9" t="s">
        <v>44</v>
      </c>
      <c r="E40" s="9" t="s">
        <v>116</v>
      </c>
      <c r="F40" s="9" t="n">
        <v>4</v>
      </c>
      <c r="G40" s="9" t="n">
        <v>160</v>
      </c>
      <c r="H40" s="9" t="n">
        <v>331</v>
      </c>
      <c r="I40" s="9" t="s">
        <v>56</v>
      </c>
      <c r="J40" s="9" t="s">
        <v>51</v>
      </c>
    </row>
    <row r="41" customFormat="false" ht="15" hidden="false" customHeight="false" outlineLevel="0" collapsed="false">
      <c r="A41" s="9" t="s">
        <v>117</v>
      </c>
      <c r="B41" s="10" t="n">
        <v>46178</v>
      </c>
      <c r="C41" s="9" t="s">
        <v>83</v>
      </c>
      <c r="D41" s="9" t="s">
        <v>69</v>
      </c>
      <c r="E41" s="9" t="s">
        <v>55</v>
      </c>
      <c r="F41" s="9" t="n">
        <v>1</v>
      </c>
      <c r="G41" s="9" t="n">
        <v>150</v>
      </c>
      <c r="H41" s="9" t="n">
        <v>65</v>
      </c>
      <c r="I41" s="9" t="s">
        <v>50</v>
      </c>
      <c r="J41" s="9" t="s">
        <v>51</v>
      </c>
    </row>
    <row r="42" customFormat="false" ht="15" hidden="false" customHeight="false" outlineLevel="0" collapsed="false">
      <c r="A42" s="9" t="s">
        <v>118</v>
      </c>
      <c r="B42" s="10" t="n">
        <v>46174</v>
      </c>
      <c r="C42" s="9" t="s">
        <v>119</v>
      </c>
      <c r="D42" s="9" t="s">
        <v>85</v>
      </c>
      <c r="E42" s="9" t="s">
        <v>62</v>
      </c>
      <c r="F42" s="9" t="n">
        <v>2</v>
      </c>
      <c r="G42" s="9" t="n">
        <v>190</v>
      </c>
      <c r="H42" s="9" t="n">
        <v>148</v>
      </c>
      <c r="I42" s="9" t="s">
        <v>50</v>
      </c>
      <c r="J42" s="9" t="s">
        <v>51</v>
      </c>
    </row>
    <row r="43" customFormat="false" ht="15" hidden="false" customHeight="false" outlineLevel="0" collapsed="false">
      <c r="A43" s="9" t="s">
        <v>120</v>
      </c>
      <c r="B43" s="10" t="n">
        <v>46227</v>
      </c>
      <c r="C43" s="9" t="s">
        <v>43</v>
      </c>
      <c r="D43" s="9" t="s">
        <v>73</v>
      </c>
      <c r="E43" s="9" t="s">
        <v>45</v>
      </c>
      <c r="F43" s="9" t="n">
        <v>2</v>
      </c>
      <c r="G43" s="9" t="n">
        <v>140</v>
      </c>
      <c r="H43" s="9" t="n">
        <v>142</v>
      </c>
      <c r="I43" s="9" t="s">
        <v>50</v>
      </c>
      <c r="J43" s="9" t="s">
        <v>51</v>
      </c>
    </row>
    <row r="44" customFormat="false" ht="15" hidden="false" customHeight="false" outlineLevel="0" collapsed="false">
      <c r="A44" s="9" t="s">
        <v>121</v>
      </c>
      <c r="B44" s="10" t="n">
        <v>46244</v>
      </c>
      <c r="C44" s="9" t="s">
        <v>83</v>
      </c>
      <c r="D44" s="9" t="s">
        <v>77</v>
      </c>
      <c r="E44" s="9" t="s">
        <v>78</v>
      </c>
      <c r="F44" s="9" t="n">
        <v>2</v>
      </c>
      <c r="G44" s="9" t="n">
        <v>150</v>
      </c>
      <c r="H44" s="9" t="n">
        <v>115</v>
      </c>
      <c r="I44" s="9" t="s">
        <v>46</v>
      </c>
      <c r="J44" s="9" t="s">
        <v>47</v>
      </c>
    </row>
    <row r="45" customFormat="false" ht="15" hidden="false" customHeight="false" outlineLevel="0" collapsed="false">
      <c r="A45" s="9" t="s">
        <v>122</v>
      </c>
      <c r="B45" s="10" t="n">
        <v>46215</v>
      </c>
      <c r="C45" s="9" t="s">
        <v>66</v>
      </c>
      <c r="D45" s="9" t="s">
        <v>44</v>
      </c>
      <c r="E45" s="9" t="s">
        <v>45</v>
      </c>
      <c r="F45" s="9" t="n">
        <v>1</v>
      </c>
      <c r="G45" s="9" t="n">
        <v>160</v>
      </c>
      <c r="H45" s="9" t="n">
        <v>69</v>
      </c>
      <c r="I45" s="9" t="s">
        <v>56</v>
      </c>
      <c r="J45" s="9" t="s">
        <v>51</v>
      </c>
    </row>
    <row r="46" customFormat="false" ht="15" hidden="false" customHeight="false" outlineLevel="0" collapsed="false">
      <c r="A46" s="9" t="s">
        <v>123</v>
      </c>
      <c r="B46" s="10" t="n">
        <v>46264</v>
      </c>
      <c r="C46" s="9" t="s">
        <v>43</v>
      </c>
      <c r="D46" s="9" t="s">
        <v>108</v>
      </c>
      <c r="E46" s="9" t="s">
        <v>78</v>
      </c>
      <c r="F46" s="9" t="n">
        <v>1</v>
      </c>
      <c r="G46" s="9" t="n">
        <v>220</v>
      </c>
      <c r="H46" s="9" t="n">
        <v>103</v>
      </c>
      <c r="I46" s="9" t="s">
        <v>56</v>
      </c>
      <c r="J46" s="9" t="s">
        <v>51</v>
      </c>
    </row>
    <row r="47" customFormat="false" ht="15" hidden="false" customHeight="false" outlineLevel="0" collapsed="false">
      <c r="A47" s="9" t="s">
        <v>124</v>
      </c>
      <c r="B47" s="10" t="n">
        <v>46184</v>
      </c>
      <c r="C47" s="9" t="s">
        <v>60</v>
      </c>
      <c r="D47" s="9" t="s">
        <v>125</v>
      </c>
      <c r="E47" s="9" t="s">
        <v>55</v>
      </c>
      <c r="F47" s="9" t="n">
        <v>4</v>
      </c>
      <c r="G47" s="9" t="n">
        <v>190</v>
      </c>
      <c r="H47" s="9" t="n">
        <v>331</v>
      </c>
      <c r="I47" s="9" t="s">
        <v>56</v>
      </c>
      <c r="J47" s="9" t="s">
        <v>51</v>
      </c>
    </row>
    <row r="48" customFormat="false" ht="15" hidden="false" customHeight="false" outlineLevel="0" collapsed="false">
      <c r="A48" s="9" t="s">
        <v>126</v>
      </c>
      <c r="B48" s="10" t="n">
        <v>46229</v>
      </c>
      <c r="C48" s="9" t="s">
        <v>60</v>
      </c>
      <c r="D48" s="9" t="s">
        <v>67</v>
      </c>
      <c r="E48" s="9" t="s">
        <v>55</v>
      </c>
      <c r="F48" s="9" t="n">
        <v>4</v>
      </c>
      <c r="G48" s="9" t="n">
        <v>190</v>
      </c>
      <c r="H48" s="9" t="n">
        <v>387</v>
      </c>
      <c r="I48" s="9" t="s">
        <v>50</v>
      </c>
      <c r="J48" s="9" t="s">
        <v>51</v>
      </c>
    </row>
    <row r="49" customFormat="false" ht="15" hidden="false" customHeight="false" outlineLevel="0" collapsed="false">
      <c r="A49" s="9" t="s">
        <v>127</v>
      </c>
      <c r="B49" s="9" t="s">
        <v>128</v>
      </c>
      <c r="C49" s="9" t="s">
        <v>83</v>
      </c>
      <c r="D49" s="9" t="s">
        <v>58</v>
      </c>
      <c r="E49" s="9" t="s">
        <v>45</v>
      </c>
      <c r="F49" s="9" t="n">
        <v>1</v>
      </c>
      <c r="G49" s="9" t="n">
        <v>150</v>
      </c>
      <c r="H49" s="9" t="n">
        <v>61</v>
      </c>
      <c r="I49" s="9"/>
      <c r="J49" s="9" t="s">
        <v>51</v>
      </c>
    </row>
    <row r="50" customFormat="false" ht="15" hidden="false" customHeight="false" outlineLevel="0" collapsed="false">
      <c r="A50" s="9" t="s">
        <v>129</v>
      </c>
      <c r="B50" s="10" t="n">
        <v>46183</v>
      </c>
      <c r="C50" s="9" t="s">
        <v>130</v>
      </c>
      <c r="D50" s="9" t="s">
        <v>67</v>
      </c>
      <c r="E50" s="9" t="s">
        <v>55</v>
      </c>
      <c r="F50" s="9" t="n">
        <v>2</v>
      </c>
      <c r="G50" s="9" t="n">
        <v>190</v>
      </c>
      <c r="H50" s="9" t="n">
        <v>202</v>
      </c>
      <c r="I50" s="9" t="s">
        <v>50</v>
      </c>
      <c r="J50" s="9" t="s">
        <v>51</v>
      </c>
    </row>
    <row r="51" customFormat="false" ht="15" hidden="false" customHeight="false" outlineLevel="0" collapsed="false">
      <c r="A51" s="9" t="s">
        <v>131</v>
      </c>
      <c r="B51" s="10" t="n">
        <v>46245</v>
      </c>
      <c r="C51" s="9" t="s">
        <v>60</v>
      </c>
      <c r="D51" s="9" t="s">
        <v>54</v>
      </c>
      <c r="E51" s="9" t="s">
        <v>55</v>
      </c>
      <c r="F51" s="9" t="n">
        <v>2</v>
      </c>
      <c r="G51" s="9" t="n">
        <v>80</v>
      </c>
      <c r="H51" s="9" t="n">
        <v>78</v>
      </c>
      <c r="I51" s="9" t="s">
        <v>50</v>
      </c>
      <c r="J51" s="9" t="s">
        <v>51</v>
      </c>
    </row>
    <row r="52" customFormat="false" ht="15" hidden="false" customHeight="false" outlineLevel="0" collapsed="false">
      <c r="A52" s="9" t="s">
        <v>132</v>
      </c>
      <c r="B52" s="10" t="n">
        <v>46244</v>
      </c>
      <c r="C52" s="9" t="s">
        <v>60</v>
      </c>
      <c r="D52" s="9" t="s">
        <v>108</v>
      </c>
      <c r="E52" s="9" t="s">
        <v>78</v>
      </c>
      <c r="F52" s="9" t="n">
        <v>2</v>
      </c>
      <c r="G52" s="9" t="n">
        <v>220</v>
      </c>
      <c r="H52" s="9" t="n">
        <v>198</v>
      </c>
      <c r="I52" s="9" t="s">
        <v>50</v>
      </c>
      <c r="J52" s="9" t="s">
        <v>51</v>
      </c>
    </row>
    <row r="53" customFormat="false" ht="15" hidden="false" customHeight="false" outlineLevel="0" collapsed="false">
      <c r="A53" s="9" t="s">
        <v>133</v>
      </c>
      <c r="B53" s="10" t="n">
        <v>46255</v>
      </c>
      <c r="C53" s="9" t="s">
        <v>134</v>
      </c>
      <c r="D53" s="9" t="s">
        <v>110</v>
      </c>
      <c r="E53" s="9" t="s">
        <v>78</v>
      </c>
      <c r="F53" s="9" t="n">
        <v>3</v>
      </c>
      <c r="G53" s="9" t="n">
        <v>200</v>
      </c>
      <c r="H53" s="9" t="n">
        <v>277</v>
      </c>
      <c r="I53" s="9" t="s">
        <v>46</v>
      </c>
      <c r="J53" s="9" t="s">
        <v>51</v>
      </c>
    </row>
    <row r="54" customFormat="false" ht="15" hidden="false" customHeight="false" outlineLevel="0" collapsed="false">
      <c r="A54" s="9" t="s">
        <v>135</v>
      </c>
      <c r="B54" s="10" t="n">
        <v>46200</v>
      </c>
      <c r="C54" s="9" t="s">
        <v>43</v>
      </c>
      <c r="D54" s="9" t="s">
        <v>99</v>
      </c>
      <c r="E54" s="9" t="s">
        <v>45</v>
      </c>
      <c r="F54" s="9" t="n">
        <v>1</v>
      </c>
      <c r="G54" s="9" t="n">
        <v>130</v>
      </c>
      <c r="H54" s="9" t="n">
        <v>58</v>
      </c>
      <c r="I54" s="9" t="s">
        <v>46</v>
      </c>
      <c r="J54" s="9" t="s">
        <v>51</v>
      </c>
    </row>
    <row r="55" customFormat="false" ht="15" hidden="false" customHeight="false" outlineLevel="0" collapsed="false">
      <c r="A55" s="9" t="s">
        <v>136</v>
      </c>
      <c r="B55" s="10" t="n">
        <v>46213</v>
      </c>
      <c r="C55" s="9" t="s">
        <v>43</v>
      </c>
      <c r="D55" s="9" t="s">
        <v>69</v>
      </c>
      <c r="E55" s="9" t="s">
        <v>55</v>
      </c>
      <c r="F55" s="9" t="n">
        <v>1</v>
      </c>
      <c r="G55" s="9" t="n">
        <v>150</v>
      </c>
      <c r="H55" s="9" t="n">
        <v>72</v>
      </c>
      <c r="I55" s="9" t="s">
        <v>56</v>
      </c>
      <c r="J55" s="9" t="s">
        <v>47</v>
      </c>
    </row>
    <row r="56" customFormat="false" ht="15" hidden="false" customHeight="false" outlineLevel="0" collapsed="false">
      <c r="A56" s="9" t="s">
        <v>137</v>
      </c>
      <c r="B56" s="10" t="n">
        <v>46253</v>
      </c>
      <c r="C56" s="9" t="s">
        <v>83</v>
      </c>
      <c r="D56" s="9" t="s">
        <v>108</v>
      </c>
      <c r="E56" s="9" t="s">
        <v>78</v>
      </c>
      <c r="F56" s="9" t="n">
        <v>3</v>
      </c>
      <c r="G56" s="9" t="n">
        <v>220</v>
      </c>
      <c r="H56" s="9" t="n">
        <v>277</v>
      </c>
      <c r="I56" s="9" t="s">
        <v>50</v>
      </c>
      <c r="J56" s="9" t="s">
        <v>51</v>
      </c>
    </row>
    <row r="57" customFormat="false" ht="15" hidden="false" customHeight="false" outlineLevel="0" collapsed="false">
      <c r="A57" s="9" t="s">
        <v>138</v>
      </c>
      <c r="B57" s="10" t="n">
        <v>46261</v>
      </c>
      <c r="C57" s="9" t="s">
        <v>66</v>
      </c>
      <c r="D57" s="9" t="s">
        <v>71</v>
      </c>
      <c r="E57" s="9" t="s">
        <v>62</v>
      </c>
      <c r="F57" s="9" t="n">
        <v>1</v>
      </c>
      <c r="G57" s="9" t="n">
        <v>150</v>
      </c>
      <c r="H57" s="9" t="n">
        <v>54</v>
      </c>
      <c r="I57" s="9"/>
      <c r="J57" s="9" t="s">
        <v>51</v>
      </c>
    </row>
    <row r="58" customFormat="false" ht="15" hidden="false" customHeight="false" outlineLevel="0" collapsed="false">
      <c r="A58" s="9" t="s">
        <v>139</v>
      </c>
      <c r="B58" s="10" t="n">
        <v>46177</v>
      </c>
      <c r="C58" s="9" t="s">
        <v>43</v>
      </c>
      <c r="D58" s="9" t="s">
        <v>85</v>
      </c>
      <c r="E58" s="9" t="s">
        <v>62</v>
      </c>
      <c r="F58" s="9" t="n">
        <v>1</v>
      </c>
      <c r="G58" s="9" t="n">
        <v>190</v>
      </c>
      <c r="H58" s="9" t="n">
        <v>79</v>
      </c>
      <c r="I58" s="9" t="s">
        <v>50</v>
      </c>
      <c r="J58" s="9" t="s">
        <v>51</v>
      </c>
    </row>
    <row r="59" customFormat="false" ht="15" hidden="false" customHeight="false" outlineLevel="0" collapsed="false">
      <c r="A59" s="9" t="s">
        <v>140</v>
      </c>
      <c r="B59" s="10" t="n">
        <v>46243</v>
      </c>
      <c r="C59" s="9" t="s">
        <v>83</v>
      </c>
      <c r="D59" s="9" t="s">
        <v>61</v>
      </c>
      <c r="E59" s="9" t="s">
        <v>62</v>
      </c>
      <c r="F59" s="9" t="n">
        <v>1</v>
      </c>
      <c r="G59" s="9" t="n">
        <v>170</v>
      </c>
      <c r="H59" s="9" t="n">
        <v>72</v>
      </c>
      <c r="I59" s="9" t="s">
        <v>56</v>
      </c>
      <c r="J59" s="9" t="s">
        <v>51</v>
      </c>
    </row>
    <row r="60" customFormat="false" ht="15" hidden="false" customHeight="false" outlineLevel="0" collapsed="false">
      <c r="A60" s="9" t="s">
        <v>141</v>
      </c>
      <c r="B60" s="10" t="n">
        <v>46259</v>
      </c>
      <c r="C60" s="9" t="s">
        <v>60</v>
      </c>
      <c r="D60" s="9" t="s">
        <v>89</v>
      </c>
      <c r="E60" s="9" t="s">
        <v>78</v>
      </c>
      <c r="F60" s="9" t="n">
        <v>2</v>
      </c>
      <c r="G60" s="9" t="n">
        <v>240</v>
      </c>
      <c r="H60" s="9" t="n">
        <v>185</v>
      </c>
      <c r="I60" s="9" t="s">
        <v>50</v>
      </c>
      <c r="J60" s="9" t="s">
        <v>51</v>
      </c>
    </row>
    <row r="61" customFormat="false" ht="15" hidden="false" customHeight="false" outlineLevel="0" collapsed="false">
      <c r="A61" s="9" t="s">
        <v>142</v>
      </c>
      <c r="B61" s="10" t="n">
        <v>46182</v>
      </c>
      <c r="C61" s="9" t="s">
        <v>66</v>
      </c>
      <c r="D61" s="9" t="s">
        <v>77</v>
      </c>
      <c r="E61" s="9" t="s">
        <v>78</v>
      </c>
      <c r="F61" s="9" t="n">
        <v>1</v>
      </c>
      <c r="G61" s="9" t="n">
        <v>150</v>
      </c>
      <c r="H61" s="9" t="n">
        <v>61</v>
      </c>
      <c r="I61" s="9" t="s">
        <v>50</v>
      </c>
      <c r="J61" s="9" t="s">
        <v>51</v>
      </c>
    </row>
    <row r="62" customFormat="false" ht="15" hidden="false" customHeight="false" outlineLevel="0" collapsed="false">
      <c r="A62" s="9" t="s">
        <v>143</v>
      </c>
      <c r="B62" s="10" t="n">
        <v>46263</v>
      </c>
      <c r="C62" s="9" t="s">
        <v>60</v>
      </c>
      <c r="D62" s="9" t="s">
        <v>110</v>
      </c>
      <c r="E62" s="9" t="s">
        <v>78</v>
      </c>
      <c r="F62" s="9" t="n">
        <v>3</v>
      </c>
      <c r="G62" s="9" t="n">
        <v>200</v>
      </c>
      <c r="H62" s="9" t="n">
        <v>236</v>
      </c>
      <c r="I62" s="9" t="s">
        <v>50</v>
      </c>
      <c r="J62" s="9" t="s">
        <v>51</v>
      </c>
    </row>
    <row r="63" customFormat="false" ht="15" hidden="false" customHeight="false" outlineLevel="0" collapsed="false">
      <c r="A63" s="9" t="s">
        <v>144</v>
      </c>
      <c r="B63" s="10" t="n">
        <v>46235</v>
      </c>
      <c r="C63" s="9" t="s">
        <v>66</v>
      </c>
      <c r="D63" s="9" t="s">
        <v>145</v>
      </c>
      <c r="E63" s="9" t="s">
        <v>55</v>
      </c>
      <c r="F63" s="9" t="n">
        <v>1</v>
      </c>
      <c r="G63" s="9" t="n">
        <v>170</v>
      </c>
      <c r="H63" s="9" t="n">
        <v>92</v>
      </c>
      <c r="I63" s="9" t="s">
        <v>50</v>
      </c>
      <c r="J63" s="9" t="s">
        <v>51</v>
      </c>
    </row>
    <row r="64" customFormat="false" ht="15" hidden="false" customHeight="false" outlineLevel="0" collapsed="false">
      <c r="A64" s="9" t="s">
        <v>146</v>
      </c>
      <c r="B64" s="10" t="n">
        <v>46186</v>
      </c>
      <c r="C64" s="9" t="s">
        <v>64</v>
      </c>
      <c r="D64" s="9" t="s">
        <v>85</v>
      </c>
      <c r="E64" s="9" t="s">
        <v>62</v>
      </c>
      <c r="F64" s="9" t="n">
        <v>1</v>
      </c>
      <c r="G64" s="9" t="n">
        <v>190</v>
      </c>
      <c r="H64" s="9" t="n">
        <v>76</v>
      </c>
      <c r="I64" s="9" t="s">
        <v>56</v>
      </c>
      <c r="J64" s="9" t="s">
        <v>51</v>
      </c>
    </row>
    <row r="65" customFormat="false" ht="15" hidden="false" customHeight="false" outlineLevel="0" collapsed="false">
      <c r="A65" s="9" t="s">
        <v>147</v>
      </c>
      <c r="B65" s="10" t="n">
        <v>46216</v>
      </c>
      <c r="C65" s="9" t="s">
        <v>53</v>
      </c>
      <c r="D65" s="9" t="s">
        <v>99</v>
      </c>
      <c r="E65" s="9" t="s">
        <v>45</v>
      </c>
      <c r="F65" s="9" t="n">
        <v>2</v>
      </c>
      <c r="G65" s="9" t="n">
        <v>130</v>
      </c>
      <c r="H65" s="9" t="n">
        <v>130</v>
      </c>
      <c r="I65" s="9" t="s">
        <v>50</v>
      </c>
      <c r="J65" s="9" t="s">
        <v>47</v>
      </c>
    </row>
    <row r="66" customFormat="false" ht="15" hidden="false" customHeight="false" outlineLevel="0" collapsed="false">
      <c r="A66" s="9" t="s">
        <v>148</v>
      </c>
      <c r="B66" s="10" t="n">
        <v>46183</v>
      </c>
      <c r="C66" s="9" t="s">
        <v>66</v>
      </c>
      <c r="D66" s="9" t="s">
        <v>67</v>
      </c>
      <c r="E66" s="9" t="s">
        <v>55</v>
      </c>
      <c r="F66" s="9" t="n">
        <v>1</v>
      </c>
      <c r="G66" s="9" t="n">
        <v>190</v>
      </c>
      <c r="H66" s="9" t="n">
        <v>96</v>
      </c>
      <c r="I66" s="9" t="s">
        <v>46</v>
      </c>
      <c r="J66" s="9" t="s">
        <v>47</v>
      </c>
    </row>
    <row r="67" customFormat="false" ht="15" hidden="false" customHeight="false" outlineLevel="0" collapsed="false">
      <c r="A67" s="9" t="s">
        <v>149</v>
      </c>
      <c r="B67" s="10" t="n">
        <v>46219</v>
      </c>
      <c r="C67" s="9" t="s">
        <v>60</v>
      </c>
      <c r="D67" s="9" t="s">
        <v>67</v>
      </c>
      <c r="E67" s="9" t="s">
        <v>55</v>
      </c>
      <c r="F67" s="9" t="n">
        <v>1</v>
      </c>
      <c r="G67" s="9" t="n">
        <v>190</v>
      </c>
      <c r="H67" s="9" t="n">
        <v>97</v>
      </c>
      <c r="I67" s="9" t="s">
        <v>50</v>
      </c>
      <c r="J67" s="9" t="s">
        <v>51</v>
      </c>
    </row>
    <row r="68" customFormat="false" ht="15" hidden="false" customHeight="false" outlineLevel="0" collapsed="false">
      <c r="A68" s="9" t="s">
        <v>150</v>
      </c>
      <c r="B68" s="10" t="n">
        <v>46211</v>
      </c>
      <c r="C68" s="9" t="s">
        <v>60</v>
      </c>
      <c r="D68" s="9" t="s">
        <v>99</v>
      </c>
      <c r="E68" s="9" t="s">
        <v>45</v>
      </c>
      <c r="F68" s="9" t="n">
        <v>1</v>
      </c>
      <c r="G68" s="9" t="n">
        <v>130</v>
      </c>
      <c r="H68" s="9" t="n">
        <v>52</v>
      </c>
      <c r="I68" s="9" t="s">
        <v>50</v>
      </c>
      <c r="J68" s="9" t="s">
        <v>51</v>
      </c>
    </row>
    <row r="69" customFormat="false" ht="15" hidden="false" customHeight="false" outlineLevel="0" collapsed="false">
      <c r="A69" s="9" t="s">
        <v>151</v>
      </c>
      <c r="B69" s="10" t="n">
        <v>46242</v>
      </c>
      <c r="C69" s="9" t="s">
        <v>83</v>
      </c>
      <c r="D69" s="9" t="s">
        <v>58</v>
      </c>
      <c r="E69" s="9" t="s">
        <v>45</v>
      </c>
      <c r="F69" s="9" t="n">
        <v>1</v>
      </c>
      <c r="G69" s="9" t="n">
        <v>150</v>
      </c>
      <c r="H69" s="9" t="n">
        <v>78</v>
      </c>
      <c r="I69" s="9"/>
      <c r="J69" s="9" t="s">
        <v>51</v>
      </c>
    </row>
    <row r="70" customFormat="false" ht="15" hidden="false" customHeight="false" outlineLevel="0" collapsed="false">
      <c r="A70" s="9" t="s">
        <v>152</v>
      </c>
      <c r="B70" s="10" t="n">
        <v>46179</v>
      </c>
      <c r="C70" s="9" t="s">
        <v>53</v>
      </c>
      <c r="D70" s="9" t="s">
        <v>58</v>
      </c>
      <c r="E70" s="9" t="s">
        <v>116</v>
      </c>
      <c r="F70" s="9" t="n">
        <v>1</v>
      </c>
      <c r="G70" s="9" t="n">
        <v>150</v>
      </c>
      <c r="H70" s="9" t="n">
        <v>77</v>
      </c>
      <c r="I70" s="9" t="s">
        <v>50</v>
      </c>
      <c r="J70" s="9" t="s">
        <v>51</v>
      </c>
    </row>
    <row r="71" customFormat="false" ht="15" hidden="false" customHeight="false" outlineLevel="0" collapsed="false">
      <c r="A71" s="9" t="s">
        <v>153</v>
      </c>
      <c r="B71" s="10" t="n">
        <v>46247</v>
      </c>
      <c r="C71" s="9" t="s">
        <v>60</v>
      </c>
      <c r="D71" s="9" t="s">
        <v>145</v>
      </c>
      <c r="E71" s="9" t="s">
        <v>55</v>
      </c>
      <c r="F71" s="9" t="n">
        <v>2</v>
      </c>
      <c r="G71" s="9" t="n">
        <v>170</v>
      </c>
      <c r="H71" s="9" t="n">
        <v>158</v>
      </c>
      <c r="I71" s="9" t="s">
        <v>50</v>
      </c>
      <c r="J71" s="9" t="s">
        <v>51</v>
      </c>
    </row>
    <row r="72" customFormat="false" ht="15" hidden="false" customHeight="false" outlineLevel="0" collapsed="false">
      <c r="A72" s="9" t="s">
        <v>154</v>
      </c>
      <c r="B72" s="10" t="n">
        <v>46222</v>
      </c>
      <c r="C72" s="9" t="s">
        <v>60</v>
      </c>
      <c r="D72" s="9" t="s">
        <v>99</v>
      </c>
      <c r="E72" s="9" t="s">
        <v>45</v>
      </c>
      <c r="F72" s="9" t="n">
        <v>2</v>
      </c>
      <c r="G72" s="9" t="n">
        <v>130</v>
      </c>
      <c r="H72" s="9" t="n">
        <v>120</v>
      </c>
      <c r="I72" s="9" t="s">
        <v>46</v>
      </c>
      <c r="J72" s="9" t="s">
        <v>51</v>
      </c>
    </row>
    <row r="73" customFormat="false" ht="15" hidden="false" customHeight="false" outlineLevel="0" collapsed="false">
      <c r="A73" s="9" t="s">
        <v>155</v>
      </c>
      <c r="B73" s="10" t="n">
        <v>46207</v>
      </c>
      <c r="C73" s="9" t="s">
        <v>66</v>
      </c>
      <c r="D73" s="9" t="s">
        <v>99</v>
      </c>
      <c r="E73" s="9" t="s">
        <v>156</v>
      </c>
      <c r="F73" s="9" t="n">
        <v>1</v>
      </c>
      <c r="G73" s="9" t="n">
        <v>130</v>
      </c>
      <c r="H73" s="9" t="n">
        <v>55</v>
      </c>
      <c r="I73" s="9" t="s">
        <v>50</v>
      </c>
      <c r="J73" s="9" t="s">
        <v>51</v>
      </c>
    </row>
    <row r="74" customFormat="false" ht="15" hidden="false" customHeight="false" outlineLevel="0" collapsed="false">
      <c r="A74" s="9" t="s">
        <v>157</v>
      </c>
      <c r="B74" s="10" t="n">
        <v>46175</v>
      </c>
      <c r="C74" s="9" t="s">
        <v>66</v>
      </c>
      <c r="D74" s="9" t="s">
        <v>77</v>
      </c>
      <c r="E74" s="9" t="s">
        <v>78</v>
      </c>
      <c r="F74" s="9" t="n">
        <v>3</v>
      </c>
      <c r="G74" s="9" t="n">
        <v>150</v>
      </c>
      <c r="H74" s="9" t="n">
        <v>209</v>
      </c>
      <c r="I74" s="9" t="s">
        <v>50</v>
      </c>
      <c r="J74" s="9" t="s">
        <v>51</v>
      </c>
    </row>
    <row r="75" customFormat="false" ht="15" hidden="false" customHeight="false" outlineLevel="0" collapsed="false">
      <c r="A75" s="9" t="s">
        <v>158</v>
      </c>
      <c r="B75" s="10" t="n">
        <v>46228</v>
      </c>
      <c r="C75" s="9" t="s">
        <v>43</v>
      </c>
      <c r="D75" s="9" t="s">
        <v>71</v>
      </c>
      <c r="E75" s="9" t="s">
        <v>62</v>
      </c>
      <c r="F75" s="9" t="n">
        <v>1</v>
      </c>
      <c r="G75" s="9" t="n">
        <v>150</v>
      </c>
      <c r="H75" s="9" t="n">
        <v>66</v>
      </c>
      <c r="I75" s="9" t="s">
        <v>50</v>
      </c>
      <c r="J75" s="9" t="s">
        <v>51</v>
      </c>
    </row>
    <row r="76" customFormat="false" ht="15" hidden="false" customHeight="false" outlineLevel="0" collapsed="false">
      <c r="A76" s="9" t="s">
        <v>159</v>
      </c>
      <c r="B76" s="10" t="n">
        <v>46265</v>
      </c>
      <c r="C76" s="9" t="s">
        <v>60</v>
      </c>
      <c r="D76" s="9" t="s">
        <v>99</v>
      </c>
      <c r="E76" s="9" t="s">
        <v>45</v>
      </c>
      <c r="F76" s="9" t="n">
        <v>2</v>
      </c>
      <c r="G76" s="9" t="n">
        <v>130</v>
      </c>
      <c r="H76" s="9" t="n">
        <v>123</v>
      </c>
      <c r="I76" s="9" t="s">
        <v>50</v>
      </c>
      <c r="J76" s="9" t="s">
        <v>51</v>
      </c>
    </row>
    <row r="77" customFormat="false" ht="15" hidden="false" customHeight="false" outlineLevel="0" collapsed="false">
      <c r="A77" s="9" t="s">
        <v>160</v>
      </c>
      <c r="B77" s="10" t="n">
        <v>46234</v>
      </c>
      <c r="C77" s="9" t="s">
        <v>66</v>
      </c>
      <c r="D77" s="9" t="s">
        <v>61</v>
      </c>
      <c r="E77" s="9" t="s">
        <v>62</v>
      </c>
      <c r="F77" s="9" t="n">
        <v>1</v>
      </c>
      <c r="G77" s="9" t="n">
        <v>170</v>
      </c>
      <c r="H77" s="9" t="n">
        <v>73</v>
      </c>
      <c r="I77" s="9" t="s">
        <v>46</v>
      </c>
      <c r="J77" s="9" t="s">
        <v>51</v>
      </c>
    </row>
    <row r="78" customFormat="false" ht="15" hidden="false" customHeight="false" outlineLevel="0" collapsed="false">
      <c r="A78" s="9" t="s">
        <v>161</v>
      </c>
      <c r="B78" s="10" t="n">
        <v>46244</v>
      </c>
      <c r="C78" s="9" t="s">
        <v>66</v>
      </c>
      <c r="D78" s="9" t="s">
        <v>71</v>
      </c>
      <c r="E78" s="9" t="s">
        <v>162</v>
      </c>
      <c r="F78" s="9" t="n">
        <v>1</v>
      </c>
      <c r="G78" s="9" t="n">
        <v>150</v>
      </c>
      <c r="H78" s="9" t="n">
        <v>63</v>
      </c>
      <c r="I78" s="9" t="s">
        <v>50</v>
      </c>
      <c r="J78" s="9" t="s">
        <v>51</v>
      </c>
    </row>
    <row r="79" customFormat="false" ht="15" hidden="false" customHeight="false" outlineLevel="0" collapsed="false">
      <c r="A79" s="9" t="s">
        <v>163</v>
      </c>
      <c r="B79" s="10" t="n">
        <v>46195</v>
      </c>
      <c r="C79" s="9" t="s">
        <v>66</v>
      </c>
      <c r="D79" s="9" t="s">
        <v>71</v>
      </c>
      <c r="E79" s="9" t="s">
        <v>62</v>
      </c>
      <c r="F79" s="9" t="n">
        <v>3</v>
      </c>
      <c r="G79" s="9" t="n">
        <v>150</v>
      </c>
      <c r="H79" s="9" t="n">
        <v>185</v>
      </c>
      <c r="I79" s="9" t="s">
        <v>50</v>
      </c>
      <c r="J79" s="9" t="s">
        <v>51</v>
      </c>
    </row>
    <row r="80" customFormat="false" ht="15" hidden="false" customHeight="false" outlineLevel="0" collapsed="false">
      <c r="A80" s="9" t="s">
        <v>158</v>
      </c>
      <c r="B80" s="10" t="n">
        <v>46228</v>
      </c>
      <c r="C80" s="9" t="s">
        <v>43</v>
      </c>
      <c r="D80" s="9" t="s">
        <v>71</v>
      </c>
      <c r="E80" s="9" t="s">
        <v>62</v>
      </c>
      <c r="F80" s="9" t="n">
        <v>1</v>
      </c>
      <c r="G80" s="9" t="n">
        <v>150</v>
      </c>
      <c r="H80" s="9" t="n">
        <v>66</v>
      </c>
      <c r="I80" s="9" t="s">
        <v>50</v>
      </c>
      <c r="J80" s="9" t="s">
        <v>51</v>
      </c>
    </row>
    <row r="81" customFormat="false" ht="15" hidden="false" customHeight="false" outlineLevel="0" collapsed="false">
      <c r="A81" s="9" t="s">
        <v>164</v>
      </c>
      <c r="B81" s="10" t="n">
        <v>46215</v>
      </c>
      <c r="C81" s="9" t="s">
        <v>66</v>
      </c>
      <c r="D81" s="9" t="s">
        <v>44</v>
      </c>
      <c r="E81" s="9" t="s">
        <v>45</v>
      </c>
      <c r="F81" s="9" t="n">
        <v>2</v>
      </c>
      <c r="G81" s="9" t="n">
        <v>160</v>
      </c>
      <c r="H81" s="9" t="n">
        <v>131</v>
      </c>
      <c r="I81" s="9" t="s">
        <v>50</v>
      </c>
      <c r="J81" s="9" t="s">
        <v>51</v>
      </c>
    </row>
    <row r="82" customFormat="false" ht="15" hidden="false" customHeight="false" outlineLevel="0" collapsed="false">
      <c r="A82" s="9" t="s">
        <v>165</v>
      </c>
      <c r="B82" s="10" t="n">
        <v>46256</v>
      </c>
      <c r="C82" s="9" t="s">
        <v>83</v>
      </c>
      <c r="D82" s="9" t="s">
        <v>108</v>
      </c>
      <c r="E82" s="9" t="s">
        <v>78</v>
      </c>
      <c r="F82" s="9" t="n">
        <v>2</v>
      </c>
      <c r="G82" s="9" t="n">
        <v>220</v>
      </c>
      <c r="H82" s="9" t="n">
        <v>170</v>
      </c>
      <c r="I82" s="9" t="s">
        <v>46</v>
      </c>
      <c r="J82" s="9" t="s">
        <v>47</v>
      </c>
    </row>
    <row r="83" customFormat="false" ht="15" hidden="false" customHeight="false" outlineLevel="0" collapsed="false">
      <c r="A83" s="9" t="s">
        <v>166</v>
      </c>
      <c r="B83" s="9" t="s">
        <v>167</v>
      </c>
      <c r="C83" s="9" t="s">
        <v>60</v>
      </c>
      <c r="D83" s="9" t="s">
        <v>61</v>
      </c>
      <c r="E83" s="9" t="s">
        <v>62</v>
      </c>
      <c r="F83" s="9" t="n">
        <v>2</v>
      </c>
      <c r="G83" s="9" t="n">
        <v>170</v>
      </c>
      <c r="H83" s="9" t="n">
        <v>123</v>
      </c>
      <c r="I83" s="9" t="s">
        <v>50</v>
      </c>
      <c r="J83" s="9" t="s">
        <v>47</v>
      </c>
    </row>
    <row r="84" customFormat="false" ht="15" hidden="false" customHeight="false" outlineLevel="0" collapsed="false">
      <c r="A84" s="9" t="s">
        <v>168</v>
      </c>
      <c r="B84" s="10" t="n">
        <v>46259</v>
      </c>
      <c r="C84" s="9" t="s">
        <v>43</v>
      </c>
      <c r="D84" s="9" t="s">
        <v>73</v>
      </c>
      <c r="E84" s="9" t="s">
        <v>45</v>
      </c>
      <c r="F84" s="9" t="n">
        <v>1</v>
      </c>
      <c r="G84" s="9" t="n">
        <v>140</v>
      </c>
      <c r="H84" s="9" t="n">
        <v>66</v>
      </c>
      <c r="I84" s="9" t="s">
        <v>50</v>
      </c>
      <c r="J84" s="9" t="s">
        <v>51</v>
      </c>
    </row>
    <row r="85" customFormat="false" ht="15" hidden="false" customHeight="false" outlineLevel="0" collapsed="false">
      <c r="A85" s="9" t="s">
        <v>169</v>
      </c>
      <c r="B85" s="10" t="n">
        <v>46242</v>
      </c>
      <c r="C85" s="9" t="s">
        <v>66</v>
      </c>
      <c r="D85" s="9" t="s">
        <v>67</v>
      </c>
      <c r="E85" s="9" t="s">
        <v>55</v>
      </c>
      <c r="F85" s="9" t="n">
        <v>2</v>
      </c>
      <c r="G85" s="9" t="n">
        <v>190</v>
      </c>
      <c r="H85" s="9" t="n">
        <v>189</v>
      </c>
      <c r="I85" s="9" t="s">
        <v>50</v>
      </c>
      <c r="J85" s="9" t="s">
        <v>51</v>
      </c>
    </row>
    <row r="86" customFormat="false" ht="15" hidden="false" customHeight="false" outlineLevel="0" collapsed="false">
      <c r="A86" s="9" t="s">
        <v>170</v>
      </c>
      <c r="B86" s="10" t="n">
        <v>46253</v>
      </c>
      <c r="C86" s="9" t="s">
        <v>66</v>
      </c>
      <c r="D86" s="9" t="s">
        <v>85</v>
      </c>
      <c r="E86" s="9" t="s">
        <v>62</v>
      </c>
      <c r="F86" s="9" t="n">
        <v>3</v>
      </c>
      <c r="G86" s="9" t="n">
        <v>190</v>
      </c>
      <c r="H86" s="9" t="n">
        <v>240</v>
      </c>
      <c r="I86" s="9" t="s">
        <v>50</v>
      </c>
      <c r="J86" s="9" t="s">
        <v>51</v>
      </c>
    </row>
    <row r="87" customFormat="false" ht="15" hidden="false" customHeight="false" outlineLevel="0" collapsed="false">
      <c r="A87" s="9" t="s">
        <v>171</v>
      </c>
      <c r="B87" s="10" t="n">
        <v>46213</v>
      </c>
      <c r="C87" s="9" t="s">
        <v>43</v>
      </c>
      <c r="D87" s="9" t="s">
        <v>172</v>
      </c>
      <c r="E87" s="9" t="s">
        <v>162</v>
      </c>
      <c r="F87" s="9"/>
      <c r="G87" s="9" t="n">
        <v>170</v>
      </c>
      <c r="H87" s="9" t="n">
        <v>72</v>
      </c>
      <c r="I87" s="9" t="s">
        <v>56</v>
      </c>
      <c r="J87" s="9" t="s">
        <v>51</v>
      </c>
    </row>
    <row r="88" customFormat="false" ht="15" hidden="false" customHeight="false" outlineLevel="0" collapsed="false">
      <c r="A88" s="9" t="s">
        <v>173</v>
      </c>
      <c r="B88" s="10" t="n">
        <v>46182</v>
      </c>
      <c r="C88" s="9" t="s">
        <v>43</v>
      </c>
      <c r="D88" s="9" t="s">
        <v>77</v>
      </c>
      <c r="E88" s="9" t="s">
        <v>78</v>
      </c>
      <c r="F88" s="9" t="n">
        <v>2</v>
      </c>
      <c r="G88" s="9" t="n">
        <v>150</v>
      </c>
      <c r="H88" s="9" t="n">
        <v>134</v>
      </c>
      <c r="I88" s="9" t="s">
        <v>50</v>
      </c>
      <c r="J88" s="9" t="s">
        <v>51</v>
      </c>
    </row>
    <row r="89" customFormat="false" ht="15" hidden="false" customHeight="false" outlineLevel="0" collapsed="false">
      <c r="A89" s="9" t="s">
        <v>174</v>
      </c>
      <c r="B89" s="10" t="n">
        <v>46237</v>
      </c>
      <c r="C89" s="9" t="s">
        <v>60</v>
      </c>
      <c r="D89" s="9" t="s">
        <v>145</v>
      </c>
      <c r="E89" s="9" t="s">
        <v>55</v>
      </c>
      <c r="F89" s="9" t="n">
        <v>1</v>
      </c>
      <c r="G89" s="9" t="n">
        <v>170</v>
      </c>
      <c r="H89" s="9" t="n">
        <v>92</v>
      </c>
      <c r="I89" s="9" t="s">
        <v>50</v>
      </c>
      <c r="J89" s="9" t="s">
        <v>51</v>
      </c>
    </row>
    <row r="90" customFormat="false" ht="15" hidden="false" customHeight="false" outlineLevel="0" collapsed="false">
      <c r="A90" s="9" t="s">
        <v>175</v>
      </c>
      <c r="B90" s="10" t="n">
        <v>46175</v>
      </c>
      <c r="C90" s="9" t="s">
        <v>43</v>
      </c>
      <c r="D90" s="9" t="s">
        <v>61</v>
      </c>
      <c r="E90" s="9" t="s">
        <v>62</v>
      </c>
      <c r="F90" s="9" t="n">
        <v>2</v>
      </c>
      <c r="G90" s="9" t="n">
        <v>170</v>
      </c>
      <c r="H90" s="9" t="n">
        <v>150</v>
      </c>
      <c r="I90" s="9" t="s">
        <v>50</v>
      </c>
      <c r="J90" s="9" t="s">
        <v>51</v>
      </c>
    </row>
    <row r="91" customFormat="false" ht="15" hidden="false" customHeight="false" outlineLevel="0" collapsed="false">
      <c r="A91" s="9" t="s">
        <v>176</v>
      </c>
      <c r="B91" s="10" t="n">
        <v>46195</v>
      </c>
      <c r="C91" s="9" t="s">
        <v>83</v>
      </c>
      <c r="D91" s="9" t="s">
        <v>89</v>
      </c>
      <c r="E91" s="9" t="s">
        <v>177</v>
      </c>
      <c r="F91" s="9" t="n">
        <v>4</v>
      </c>
      <c r="G91" s="9" t="n">
        <v>240</v>
      </c>
      <c r="H91" s="9" t="n">
        <v>377</v>
      </c>
      <c r="I91" s="9" t="s">
        <v>46</v>
      </c>
      <c r="J91" s="9" t="s">
        <v>51</v>
      </c>
    </row>
    <row r="92" customFormat="false" ht="15" hidden="false" customHeight="false" outlineLevel="0" collapsed="false">
      <c r="A92" s="9" t="s">
        <v>178</v>
      </c>
      <c r="B92" s="10" t="n">
        <v>46262</v>
      </c>
      <c r="C92" s="9" t="s">
        <v>130</v>
      </c>
      <c r="D92" s="9" t="s">
        <v>85</v>
      </c>
      <c r="E92" s="9" t="s">
        <v>62</v>
      </c>
      <c r="F92" s="9" t="n">
        <v>1</v>
      </c>
      <c r="G92" s="9" t="n">
        <v>190</v>
      </c>
      <c r="H92" s="9" t="n">
        <v>77</v>
      </c>
      <c r="I92" s="9" t="s">
        <v>50</v>
      </c>
      <c r="J92" s="9" t="s">
        <v>51</v>
      </c>
    </row>
    <row r="93" customFormat="false" ht="15" hidden="false" customHeight="false" outlineLevel="0" collapsed="false">
      <c r="A93" s="9" t="s">
        <v>179</v>
      </c>
      <c r="B93" s="10" t="n">
        <v>46263</v>
      </c>
      <c r="C93" s="9" t="s">
        <v>66</v>
      </c>
      <c r="D93" s="9" t="s">
        <v>69</v>
      </c>
      <c r="E93" s="9" t="s">
        <v>55</v>
      </c>
      <c r="F93" s="9" t="n">
        <v>1</v>
      </c>
      <c r="G93" s="9" t="n">
        <v>150</v>
      </c>
      <c r="H93" s="9" t="n">
        <v>81</v>
      </c>
      <c r="I93" s="9" t="s">
        <v>46</v>
      </c>
      <c r="J93" s="9" t="s">
        <v>51</v>
      </c>
    </row>
    <row r="94" customFormat="false" ht="15" hidden="false" customHeight="false" outlineLevel="0" collapsed="false">
      <c r="A94" s="9" t="s">
        <v>180</v>
      </c>
      <c r="B94" s="10" t="n">
        <v>46186</v>
      </c>
      <c r="C94" s="9" t="s">
        <v>83</v>
      </c>
      <c r="D94" s="9" t="s">
        <v>80</v>
      </c>
      <c r="E94" s="9" t="s">
        <v>62</v>
      </c>
      <c r="F94" s="9" t="n">
        <v>2</v>
      </c>
      <c r="G94" s="9" t="n">
        <v>180</v>
      </c>
      <c r="H94" s="9" t="n">
        <v>159</v>
      </c>
      <c r="I94" s="9" t="s">
        <v>50</v>
      </c>
      <c r="J94" s="9" t="s">
        <v>51</v>
      </c>
    </row>
    <row r="95" customFormat="false" ht="15" hidden="false" customHeight="false" outlineLevel="0" collapsed="false">
      <c r="A95" s="9" t="s">
        <v>181</v>
      </c>
      <c r="B95" s="10" t="n">
        <v>46254</v>
      </c>
      <c r="C95" s="9" t="s">
        <v>83</v>
      </c>
      <c r="D95" s="9" t="s">
        <v>67</v>
      </c>
      <c r="E95" s="9" t="s">
        <v>112</v>
      </c>
      <c r="F95" s="9" t="n">
        <v>2</v>
      </c>
      <c r="G95" s="9" t="n">
        <v>190</v>
      </c>
      <c r="H95" s="9" t="n">
        <v>204</v>
      </c>
      <c r="I95" s="9" t="s">
        <v>50</v>
      </c>
      <c r="J95" s="9" t="s">
        <v>51</v>
      </c>
    </row>
    <row r="96" customFormat="false" ht="15" hidden="false" customHeight="false" outlineLevel="0" collapsed="false">
      <c r="A96" s="9" t="s">
        <v>182</v>
      </c>
      <c r="B96" s="10" t="n">
        <v>46221</v>
      </c>
      <c r="C96" s="9" t="s">
        <v>66</v>
      </c>
      <c r="D96" s="9" t="s">
        <v>61</v>
      </c>
      <c r="E96" s="9" t="s">
        <v>62</v>
      </c>
      <c r="F96" s="9" t="n">
        <v>1</v>
      </c>
      <c r="G96" s="9" t="n">
        <v>170</v>
      </c>
      <c r="H96" s="9" t="n">
        <v>62</v>
      </c>
      <c r="I96" s="9"/>
      <c r="J96" s="9" t="s">
        <v>51</v>
      </c>
    </row>
    <row r="97" customFormat="false" ht="15" hidden="false" customHeight="false" outlineLevel="0" collapsed="false">
      <c r="A97" s="9" t="s">
        <v>183</v>
      </c>
      <c r="B97" s="10" t="n">
        <v>46186</v>
      </c>
      <c r="C97" s="9" t="s">
        <v>83</v>
      </c>
      <c r="D97" s="9" t="s">
        <v>69</v>
      </c>
      <c r="E97" s="9" t="s">
        <v>55</v>
      </c>
      <c r="F97" s="9" t="n">
        <v>1</v>
      </c>
      <c r="G97" s="9" t="n">
        <v>150</v>
      </c>
      <c r="H97" s="9" t="n">
        <v>76</v>
      </c>
      <c r="I97" s="9" t="s">
        <v>50</v>
      </c>
      <c r="J97" s="9" t="s">
        <v>51</v>
      </c>
    </row>
    <row r="98" customFormat="false" ht="15" hidden="false" customHeight="false" outlineLevel="0" collapsed="false">
      <c r="A98" s="9" t="s">
        <v>184</v>
      </c>
      <c r="B98" s="10" t="n">
        <v>46240</v>
      </c>
      <c r="C98" s="9" t="s">
        <v>83</v>
      </c>
      <c r="D98" s="9" t="s">
        <v>145</v>
      </c>
      <c r="E98" s="9" t="s">
        <v>55</v>
      </c>
      <c r="F98" s="9" t="n">
        <v>1</v>
      </c>
      <c r="G98" s="9" t="n">
        <v>170</v>
      </c>
      <c r="H98" s="9" t="n">
        <v>75</v>
      </c>
      <c r="I98" s="9" t="s">
        <v>50</v>
      </c>
      <c r="J98" s="9" t="s">
        <v>51</v>
      </c>
    </row>
    <row r="99" customFormat="false" ht="15" hidden="false" customHeight="false" outlineLevel="0" collapsed="false">
      <c r="A99" s="9" t="s">
        <v>185</v>
      </c>
      <c r="B99" s="9" t="s">
        <v>186</v>
      </c>
      <c r="C99" s="9" t="s">
        <v>66</v>
      </c>
      <c r="D99" s="9" t="s">
        <v>80</v>
      </c>
      <c r="E99" s="9" t="s">
        <v>62</v>
      </c>
      <c r="F99" s="9" t="n">
        <v>2</v>
      </c>
      <c r="G99" s="9" t="n">
        <v>180</v>
      </c>
      <c r="H99" s="9" t="n">
        <v>141</v>
      </c>
      <c r="I99" s="9" t="s">
        <v>50</v>
      </c>
      <c r="J99" s="9" t="s">
        <v>51</v>
      </c>
    </row>
    <row r="100" customFormat="false" ht="15" hidden="false" customHeight="false" outlineLevel="0" collapsed="false">
      <c r="A100" s="9" t="s">
        <v>187</v>
      </c>
      <c r="B100" s="10" t="n">
        <v>46180</v>
      </c>
      <c r="C100" s="9" t="s">
        <v>66</v>
      </c>
      <c r="D100" s="9" t="s">
        <v>85</v>
      </c>
      <c r="E100" s="9" t="s">
        <v>62</v>
      </c>
      <c r="F100" s="9" t="n">
        <v>2</v>
      </c>
      <c r="G100" s="9" t="n">
        <v>190</v>
      </c>
      <c r="H100" s="9" t="n">
        <v>138</v>
      </c>
      <c r="I100" s="9" t="s">
        <v>50</v>
      </c>
      <c r="J100" s="9" t="s">
        <v>51</v>
      </c>
    </row>
    <row r="101" customFormat="false" ht="15" hidden="false" customHeight="false" outlineLevel="0" collapsed="false">
      <c r="A101" s="9" t="s">
        <v>188</v>
      </c>
      <c r="B101" s="10" t="n">
        <v>46184</v>
      </c>
      <c r="C101" s="9" t="s">
        <v>134</v>
      </c>
      <c r="D101" s="9" t="s">
        <v>96</v>
      </c>
      <c r="E101" s="9" t="s">
        <v>62</v>
      </c>
      <c r="F101" s="9" t="n">
        <v>1</v>
      </c>
      <c r="G101" s="9" t="n">
        <v>120</v>
      </c>
      <c r="H101" s="9" t="n">
        <v>44</v>
      </c>
      <c r="I101" s="9" t="s">
        <v>50</v>
      </c>
      <c r="J101" s="9" t="s">
        <v>51</v>
      </c>
    </row>
    <row r="102" customFormat="false" ht="15" hidden="false" customHeight="false" outlineLevel="0" collapsed="false">
      <c r="A102" s="9" t="s">
        <v>189</v>
      </c>
      <c r="B102" s="10" t="n">
        <v>46207</v>
      </c>
      <c r="C102" s="9" t="s">
        <v>66</v>
      </c>
      <c r="D102" s="9" t="s">
        <v>110</v>
      </c>
      <c r="E102" s="9" t="s">
        <v>78</v>
      </c>
      <c r="F102" s="9" t="n">
        <v>1</v>
      </c>
      <c r="G102" s="9" t="n">
        <v>200</v>
      </c>
      <c r="H102" s="9" t="n">
        <v>89</v>
      </c>
      <c r="I102" s="9" t="s">
        <v>50</v>
      </c>
      <c r="J102" s="9" t="s">
        <v>51</v>
      </c>
    </row>
    <row r="103" customFormat="false" ht="15" hidden="false" customHeight="false" outlineLevel="0" collapsed="false">
      <c r="A103" s="9" t="s">
        <v>190</v>
      </c>
      <c r="B103" s="10" t="n">
        <v>46220</v>
      </c>
      <c r="C103" s="9" t="s">
        <v>43</v>
      </c>
      <c r="D103" s="9" t="s">
        <v>54</v>
      </c>
      <c r="E103" s="9" t="s">
        <v>55</v>
      </c>
      <c r="F103" s="9" t="n">
        <v>2</v>
      </c>
      <c r="G103" s="9" t="n">
        <v>80</v>
      </c>
      <c r="H103" s="9" t="n">
        <v>81</v>
      </c>
      <c r="I103" s="9" t="s">
        <v>50</v>
      </c>
      <c r="J103" s="9" t="s">
        <v>51</v>
      </c>
    </row>
    <row r="104" customFormat="false" ht="15" hidden="false" customHeight="false" outlineLevel="0" collapsed="false">
      <c r="A104" s="9" t="s">
        <v>191</v>
      </c>
      <c r="B104" s="10" t="n">
        <v>46231</v>
      </c>
      <c r="C104" s="9" t="s">
        <v>76</v>
      </c>
      <c r="D104" s="9" t="s">
        <v>99</v>
      </c>
      <c r="E104" s="9" t="s">
        <v>45</v>
      </c>
      <c r="F104" s="9" t="n">
        <v>1</v>
      </c>
      <c r="G104" s="9" t="n">
        <v>130</v>
      </c>
      <c r="H104" s="9" t="n">
        <v>66</v>
      </c>
      <c r="I104" s="9" t="s">
        <v>50</v>
      </c>
      <c r="J104" s="9" t="s">
        <v>51</v>
      </c>
    </row>
    <row r="105" customFormat="false" ht="15" hidden="false" customHeight="false" outlineLevel="0" collapsed="false">
      <c r="A105" s="9" t="s">
        <v>192</v>
      </c>
      <c r="B105" s="10" t="n">
        <v>46201</v>
      </c>
      <c r="C105" s="9" t="s">
        <v>43</v>
      </c>
      <c r="D105" s="9" t="s">
        <v>77</v>
      </c>
      <c r="E105" s="9" t="s">
        <v>78</v>
      </c>
      <c r="F105" s="9" t="n">
        <v>1</v>
      </c>
      <c r="G105" s="9" t="n">
        <v>150</v>
      </c>
      <c r="H105" s="9" t="n">
        <v>65</v>
      </c>
      <c r="I105" s="9" t="s">
        <v>46</v>
      </c>
      <c r="J105" s="9" t="s">
        <v>51</v>
      </c>
    </row>
    <row r="106" customFormat="false" ht="15" hidden="false" customHeight="false" outlineLevel="0" collapsed="false">
      <c r="A106" s="9" t="s">
        <v>193</v>
      </c>
      <c r="B106" s="9" t="s">
        <v>194</v>
      </c>
      <c r="C106" s="9" t="s">
        <v>60</v>
      </c>
      <c r="D106" s="9" t="s">
        <v>85</v>
      </c>
      <c r="E106" s="9" t="s">
        <v>62</v>
      </c>
      <c r="F106" s="9" t="n">
        <v>1</v>
      </c>
      <c r="G106" s="9" t="n">
        <v>190</v>
      </c>
      <c r="H106" s="9" t="n">
        <v>84</v>
      </c>
      <c r="I106" s="9" t="s">
        <v>46</v>
      </c>
      <c r="J106" s="9" t="s">
        <v>51</v>
      </c>
    </row>
    <row r="107" customFormat="false" ht="15" hidden="false" customHeight="false" outlineLevel="0" collapsed="false">
      <c r="A107" s="9" t="s">
        <v>195</v>
      </c>
      <c r="B107" s="10" t="n">
        <v>46211</v>
      </c>
      <c r="C107" s="9" t="s">
        <v>60</v>
      </c>
      <c r="D107" s="9" t="s">
        <v>54</v>
      </c>
      <c r="E107" s="9" t="s">
        <v>55</v>
      </c>
      <c r="F107" s="9" t="n">
        <v>2</v>
      </c>
      <c r="G107" s="9" t="n">
        <v>80</v>
      </c>
      <c r="H107" s="9" t="n">
        <v>83</v>
      </c>
      <c r="I107" s="9" t="s">
        <v>56</v>
      </c>
      <c r="J107" s="9" t="s">
        <v>51</v>
      </c>
    </row>
    <row r="108" customFormat="false" ht="15" hidden="false" customHeight="false" outlineLevel="0" collapsed="false">
      <c r="A108" s="9" t="s">
        <v>196</v>
      </c>
      <c r="B108" s="10" t="n">
        <v>46205</v>
      </c>
      <c r="C108" s="9" t="s">
        <v>83</v>
      </c>
      <c r="D108" s="9" t="s">
        <v>145</v>
      </c>
      <c r="E108" s="9" t="s">
        <v>55</v>
      </c>
      <c r="F108" s="9" t="n">
        <v>1</v>
      </c>
      <c r="G108" s="9" t="n">
        <v>170</v>
      </c>
      <c r="H108" s="9" t="n">
        <v>77</v>
      </c>
      <c r="I108" s="9" t="s">
        <v>56</v>
      </c>
      <c r="J108" s="9" t="s">
        <v>51</v>
      </c>
    </row>
    <row r="109" customFormat="false" ht="15" hidden="false" customHeight="false" outlineLevel="0" collapsed="false">
      <c r="A109" s="9" t="s">
        <v>197</v>
      </c>
      <c r="B109" s="10" t="n">
        <v>46256</v>
      </c>
      <c r="C109" s="9" t="s">
        <v>83</v>
      </c>
      <c r="D109" s="9" t="s">
        <v>73</v>
      </c>
      <c r="E109" s="9" t="s">
        <v>45</v>
      </c>
      <c r="F109" s="9" t="n">
        <v>2</v>
      </c>
      <c r="G109" s="9" t="n">
        <v>140</v>
      </c>
      <c r="H109" s="9" t="n">
        <v>142</v>
      </c>
      <c r="I109" s="9" t="s">
        <v>50</v>
      </c>
      <c r="J109" s="9" t="s">
        <v>47</v>
      </c>
    </row>
    <row r="110" customFormat="false" ht="15" hidden="false" customHeight="false" outlineLevel="0" collapsed="false">
      <c r="A110" s="9" t="s">
        <v>198</v>
      </c>
      <c r="B110" s="10" t="n">
        <v>46220</v>
      </c>
      <c r="C110" s="9" t="s">
        <v>66</v>
      </c>
      <c r="D110" s="9" t="s">
        <v>44</v>
      </c>
      <c r="E110" s="9" t="s">
        <v>45</v>
      </c>
      <c r="F110" s="9" t="n">
        <v>2</v>
      </c>
      <c r="G110" s="9" t="n">
        <v>160</v>
      </c>
      <c r="H110" s="9" t="n">
        <v>136</v>
      </c>
      <c r="I110" s="9" t="s">
        <v>50</v>
      </c>
      <c r="J110" s="9" t="s">
        <v>47</v>
      </c>
    </row>
    <row r="111" customFormat="false" ht="15" hidden="false" customHeight="false" outlineLevel="0" collapsed="false">
      <c r="A111" s="9" t="s">
        <v>199</v>
      </c>
      <c r="B111" s="10" t="n">
        <v>46182</v>
      </c>
      <c r="C111" s="9" t="s">
        <v>43</v>
      </c>
      <c r="D111" s="9" t="s">
        <v>89</v>
      </c>
      <c r="E111" s="9" t="s">
        <v>78</v>
      </c>
      <c r="F111" s="9" t="n">
        <v>4</v>
      </c>
      <c r="G111" s="9" t="n">
        <v>240</v>
      </c>
      <c r="H111" s="9" t="n">
        <v>375</v>
      </c>
      <c r="I111" s="9" t="s">
        <v>50</v>
      </c>
      <c r="J111" s="9" t="s">
        <v>51</v>
      </c>
    </row>
    <row r="112" customFormat="false" ht="15" hidden="false" customHeight="false" outlineLevel="0" collapsed="false">
      <c r="A112" s="9" t="s">
        <v>200</v>
      </c>
      <c r="B112" s="10" t="n">
        <v>46265</v>
      </c>
      <c r="C112" s="9" t="s">
        <v>64</v>
      </c>
      <c r="D112" s="9" t="s">
        <v>96</v>
      </c>
      <c r="E112" s="9" t="s">
        <v>62</v>
      </c>
      <c r="F112" s="9" t="n">
        <v>1</v>
      </c>
      <c r="G112" s="9" t="n">
        <v>120</v>
      </c>
      <c r="H112" s="9" t="n">
        <v>44</v>
      </c>
      <c r="I112" s="9" t="s">
        <v>50</v>
      </c>
      <c r="J112" s="9" t="s">
        <v>47</v>
      </c>
    </row>
    <row r="113" customFormat="false" ht="15" hidden="false" customHeight="false" outlineLevel="0" collapsed="false">
      <c r="A113" s="9" t="s">
        <v>201</v>
      </c>
      <c r="B113" s="10" t="n">
        <v>46231</v>
      </c>
      <c r="C113" s="9" t="s">
        <v>130</v>
      </c>
      <c r="D113" s="9" t="s">
        <v>44</v>
      </c>
      <c r="E113" s="9" t="s">
        <v>45</v>
      </c>
      <c r="F113" s="9" t="n">
        <v>1</v>
      </c>
      <c r="G113" s="9" t="n">
        <v>160</v>
      </c>
      <c r="H113" s="9" t="n">
        <v>82</v>
      </c>
      <c r="I113" s="9" t="s">
        <v>50</v>
      </c>
      <c r="J113" s="9" t="s">
        <v>51</v>
      </c>
    </row>
    <row r="114" customFormat="false" ht="15" hidden="false" customHeight="false" outlineLevel="0" collapsed="false">
      <c r="A114" s="9" t="s">
        <v>202</v>
      </c>
      <c r="B114" s="10" t="n">
        <v>46257</v>
      </c>
      <c r="C114" s="9" t="s">
        <v>66</v>
      </c>
      <c r="D114" s="9" t="s">
        <v>203</v>
      </c>
      <c r="E114" s="9" t="s">
        <v>78</v>
      </c>
      <c r="F114" s="9" t="n">
        <v>2</v>
      </c>
      <c r="G114" s="9" t="n">
        <v>240</v>
      </c>
      <c r="H114" s="9" t="n">
        <v>183</v>
      </c>
      <c r="I114" s="9" t="s">
        <v>50</v>
      </c>
      <c r="J114" s="9" t="s">
        <v>51</v>
      </c>
    </row>
    <row r="115" customFormat="false" ht="15" hidden="false" customHeight="false" outlineLevel="0" collapsed="false">
      <c r="A115" s="9" t="s">
        <v>204</v>
      </c>
      <c r="B115" s="10" t="n">
        <v>46184</v>
      </c>
      <c r="C115" s="9" t="s">
        <v>66</v>
      </c>
      <c r="D115" s="9" t="s">
        <v>44</v>
      </c>
      <c r="E115" s="9" t="s">
        <v>45</v>
      </c>
      <c r="F115" s="9" t="n">
        <v>2</v>
      </c>
      <c r="G115" s="9" t="n">
        <v>160</v>
      </c>
      <c r="H115" s="9" t="n">
        <v>137</v>
      </c>
      <c r="I115" s="9" t="s">
        <v>50</v>
      </c>
      <c r="J115" s="9" t="s">
        <v>51</v>
      </c>
    </row>
    <row r="116" customFormat="false" ht="15" hidden="false" customHeight="false" outlineLevel="0" collapsed="false">
      <c r="A116" s="9" t="s">
        <v>205</v>
      </c>
      <c r="B116" s="10" t="n">
        <v>46241</v>
      </c>
      <c r="C116" s="9" t="s">
        <v>66</v>
      </c>
      <c r="D116" s="9" t="s">
        <v>44</v>
      </c>
      <c r="E116" s="9" t="s">
        <v>45</v>
      </c>
      <c r="F116" s="9" t="n">
        <v>2</v>
      </c>
      <c r="G116" s="9" t="n">
        <v>160</v>
      </c>
      <c r="H116" s="9" t="n">
        <v>156</v>
      </c>
      <c r="I116" s="9" t="s">
        <v>50</v>
      </c>
      <c r="J116" s="9" t="s">
        <v>51</v>
      </c>
    </row>
    <row r="117" customFormat="false" ht="15" hidden="false" customHeight="false" outlineLevel="0" collapsed="false">
      <c r="A117" s="9" t="s">
        <v>206</v>
      </c>
      <c r="B117" s="10" t="n">
        <v>46264</v>
      </c>
      <c r="C117" s="9" t="s">
        <v>60</v>
      </c>
      <c r="D117" s="9" t="s">
        <v>89</v>
      </c>
      <c r="E117" s="9" t="s">
        <v>78</v>
      </c>
      <c r="F117" s="9" t="n">
        <v>2</v>
      </c>
      <c r="G117" s="9" t="n">
        <v>240</v>
      </c>
      <c r="H117" s="9" t="n">
        <v>224</v>
      </c>
      <c r="I117" s="9" t="s">
        <v>50</v>
      </c>
      <c r="J117" s="9" t="s">
        <v>51</v>
      </c>
    </row>
    <row r="118" customFormat="false" ht="15" hidden="false" customHeight="false" outlineLevel="0" collapsed="false">
      <c r="A118" s="9" t="s">
        <v>207</v>
      </c>
      <c r="B118" s="10" t="n">
        <v>46256</v>
      </c>
      <c r="C118" s="9" t="s">
        <v>60</v>
      </c>
      <c r="D118" s="9" t="s">
        <v>69</v>
      </c>
      <c r="E118" s="9" t="s">
        <v>55</v>
      </c>
      <c r="F118" s="9" t="n">
        <v>1</v>
      </c>
      <c r="G118" s="9" t="n">
        <v>150</v>
      </c>
      <c r="H118" s="9" t="n">
        <v>81</v>
      </c>
      <c r="I118" s="9" t="s">
        <v>50</v>
      </c>
      <c r="J118" s="9" t="s">
        <v>51</v>
      </c>
    </row>
    <row r="119" customFormat="false" ht="15" hidden="false" customHeight="false" outlineLevel="0" collapsed="false">
      <c r="A119" s="9" t="s">
        <v>208</v>
      </c>
      <c r="B119" s="10" t="n">
        <v>46244</v>
      </c>
      <c r="C119" s="9" t="s">
        <v>66</v>
      </c>
      <c r="D119" s="9" t="s">
        <v>89</v>
      </c>
      <c r="E119" s="9" t="s">
        <v>78</v>
      </c>
      <c r="F119" s="9" t="n">
        <v>1</v>
      </c>
      <c r="G119" s="9" t="n">
        <v>240</v>
      </c>
      <c r="H119" s="9" t="n">
        <v>99</v>
      </c>
      <c r="I119" s="9" t="s">
        <v>50</v>
      </c>
      <c r="J119" s="9" t="s">
        <v>51</v>
      </c>
    </row>
    <row r="120" customFormat="false" ht="15" hidden="false" customHeight="false" outlineLevel="0" collapsed="false">
      <c r="A120" s="9" t="s">
        <v>209</v>
      </c>
      <c r="B120" s="10" t="n">
        <v>46183</v>
      </c>
      <c r="C120" s="9" t="s">
        <v>83</v>
      </c>
      <c r="D120" s="9" t="s">
        <v>73</v>
      </c>
      <c r="E120" s="9" t="s">
        <v>45</v>
      </c>
      <c r="F120" s="9" t="n">
        <v>2</v>
      </c>
      <c r="G120" s="9" t="n">
        <v>140</v>
      </c>
      <c r="H120" s="9" t="n">
        <v>133</v>
      </c>
      <c r="I120" s="9" t="s">
        <v>46</v>
      </c>
      <c r="J120" s="9" t="s">
        <v>51</v>
      </c>
    </row>
    <row r="121" customFormat="false" ht="15" hidden="false" customHeight="false" outlineLevel="0" collapsed="false">
      <c r="A121" s="9" t="s">
        <v>210</v>
      </c>
      <c r="B121" s="10" t="n">
        <v>46258</v>
      </c>
      <c r="C121" s="9" t="s">
        <v>60</v>
      </c>
      <c r="D121" s="9" t="s">
        <v>211</v>
      </c>
      <c r="E121" s="9" t="s">
        <v>62</v>
      </c>
      <c r="F121" s="9" t="n">
        <v>1</v>
      </c>
      <c r="G121" s="9" t="n">
        <v>170</v>
      </c>
      <c r="H121" s="9" t="n">
        <v>64</v>
      </c>
      <c r="I121" s="9" t="s">
        <v>50</v>
      </c>
      <c r="J121" s="9" t="s">
        <v>51</v>
      </c>
    </row>
    <row r="122" customFormat="false" ht="15" hidden="false" customHeight="false" outlineLevel="0" collapsed="false">
      <c r="A122" s="9" t="s">
        <v>212</v>
      </c>
      <c r="B122" s="10" t="n">
        <v>46238</v>
      </c>
      <c r="C122" s="9" t="s">
        <v>83</v>
      </c>
      <c r="D122" s="9" t="s">
        <v>108</v>
      </c>
      <c r="E122" s="9" t="s">
        <v>177</v>
      </c>
      <c r="F122" s="9" t="n">
        <v>1</v>
      </c>
      <c r="G122" s="9" t="n">
        <v>220</v>
      </c>
      <c r="H122" s="9" t="n">
        <v>97</v>
      </c>
      <c r="I122" s="9" t="s">
        <v>50</v>
      </c>
      <c r="J122" s="9" t="s">
        <v>51</v>
      </c>
    </row>
    <row r="123" customFormat="false" ht="15" hidden="false" customHeight="false" outlineLevel="0" collapsed="false">
      <c r="A123" s="9" t="s">
        <v>213</v>
      </c>
      <c r="B123" s="10" t="n">
        <v>46189</v>
      </c>
      <c r="C123" s="9" t="s">
        <v>83</v>
      </c>
      <c r="D123" s="9" t="s">
        <v>110</v>
      </c>
      <c r="E123" s="9" t="s">
        <v>78</v>
      </c>
      <c r="F123" s="9" t="n">
        <v>2</v>
      </c>
      <c r="G123" s="9" t="n">
        <v>200</v>
      </c>
      <c r="H123" s="9" t="n">
        <v>159</v>
      </c>
      <c r="I123" s="9" t="s">
        <v>46</v>
      </c>
      <c r="J123" s="9" t="s">
        <v>51</v>
      </c>
    </row>
    <row r="124" customFormat="false" ht="15" hidden="false" customHeight="false" outlineLevel="0" collapsed="false">
      <c r="A124" s="9" t="s">
        <v>214</v>
      </c>
      <c r="B124" s="10" t="n">
        <v>46224</v>
      </c>
      <c r="C124" s="9" t="s">
        <v>83</v>
      </c>
      <c r="D124" s="9" t="s">
        <v>44</v>
      </c>
      <c r="E124" s="9" t="s">
        <v>45</v>
      </c>
      <c r="F124" s="9" t="n">
        <v>2</v>
      </c>
      <c r="G124" s="9" t="n">
        <v>160</v>
      </c>
      <c r="H124" s="9" t="n">
        <v>131</v>
      </c>
      <c r="I124" s="9" t="s">
        <v>50</v>
      </c>
      <c r="J124" s="9" t="s">
        <v>47</v>
      </c>
    </row>
    <row r="125" customFormat="false" ht="15" hidden="false" customHeight="false" outlineLevel="0" collapsed="false">
      <c r="A125" s="9" t="s">
        <v>215</v>
      </c>
      <c r="B125" s="9" t="s">
        <v>216</v>
      </c>
      <c r="C125" s="9" t="s">
        <v>60</v>
      </c>
      <c r="D125" s="9" t="s">
        <v>54</v>
      </c>
      <c r="E125" s="9" t="s">
        <v>55</v>
      </c>
      <c r="F125" s="9" t="n">
        <v>2</v>
      </c>
      <c r="G125" s="9" t="n">
        <v>80</v>
      </c>
      <c r="H125" s="9" t="n">
        <v>79</v>
      </c>
      <c r="I125" s="9" t="s">
        <v>56</v>
      </c>
      <c r="J125" s="9" t="s">
        <v>51</v>
      </c>
    </row>
    <row r="126" customFormat="false" ht="15" hidden="false" customHeight="false" outlineLevel="0" collapsed="false">
      <c r="A126" s="9" t="s">
        <v>217</v>
      </c>
      <c r="B126" s="10" t="n">
        <v>46179</v>
      </c>
      <c r="C126" s="9" t="s">
        <v>83</v>
      </c>
      <c r="D126" s="9" t="s">
        <v>145</v>
      </c>
      <c r="E126" s="9" t="s">
        <v>55</v>
      </c>
      <c r="F126" s="9" t="n">
        <v>1</v>
      </c>
      <c r="G126" s="9" t="n">
        <v>170</v>
      </c>
      <c r="H126" s="9" t="n">
        <v>79</v>
      </c>
      <c r="I126" s="9" t="s">
        <v>50</v>
      </c>
      <c r="J126" s="9" t="s">
        <v>47</v>
      </c>
    </row>
    <row r="127" customFormat="false" ht="15" hidden="false" customHeight="false" outlineLevel="0" collapsed="false">
      <c r="A127" s="9" t="s">
        <v>218</v>
      </c>
      <c r="B127" s="10" t="n">
        <v>46240</v>
      </c>
      <c r="C127" s="9" t="s">
        <v>83</v>
      </c>
      <c r="D127" s="9" t="s">
        <v>58</v>
      </c>
      <c r="E127" s="9" t="s">
        <v>45</v>
      </c>
      <c r="F127" s="9" t="n">
        <v>2</v>
      </c>
      <c r="G127" s="9" t="n">
        <v>150</v>
      </c>
      <c r="H127" s="9" t="n">
        <v>156</v>
      </c>
      <c r="I127" s="9" t="s">
        <v>46</v>
      </c>
      <c r="J127" s="9" t="s">
        <v>51</v>
      </c>
    </row>
    <row r="128" customFormat="false" ht="15" hidden="false" customHeight="false" outlineLevel="0" collapsed="false">
      <c r="A128" s="9" t="s">
        <v>219</v>
      </c>
      <c r="B128" s="10" t="n">
        <v>46184</v>
      </c>
      <c r="C128" s="9" t="s">
        <v>66</v>
      </c>
      <c r="D128" s="9" t="s">
        <v>96</v>
      </c>
      <c r="E128" s="9" t="s">
        <v>62</v>
      </c>
      <c r="F128" s="9" t="n">
        <v>1</v>
      </c>
      <c r="G128" s="9" t="n">
        <v>120</v>
      </c>
      <c r="H128" s="9" t="n">
        <v>54</v>
      </c>
      <c r="I128" s="9" t="s">
        <v>56</v>
      </c>
      <c r="J128" s="9" t="s">
        <v>51</v>
      </c>
    </row>
    <row r="129" customFormat="false" ht="15" hidden="false" customHeight="false" outlineLevel="0" collapsed="false">
      <c r="A129" s="9" t="s">
        <v>220</v>
      </c>
      <c r="B129" s="10" t="n">
        <v>46225</v>
      </c>
      <c r="C129" s="9" t="s">
        <v>134</v>
      </c>
      <c r="D129" s="9" t="s">
        <v>145</v>
      </c>
      <c r="E129" s="9" t="s">
        <v>55</v>
      </c>
      <c r="F129" s="9" t="n">
        <v>2</v>
      </c>
      <c r="G129" s="9" t="n">
        <v>170</v>
      </c>
      <c r="H129" s="9" t="n">
        <v>174</v>
      </c>
      <c r="I129" s="9" t="s">
        <v>50</v>
      </c>
      <c r="J129" s="9" t="s">
        <v>51</v>
      </c>
    </row>
    <row r="130" customFormat="false" ht="15" hidden="false" customHeight="false" outlineLevel="0" collapsed="false">
      <c r="A130" s="9" t="s">
        <v>221</v>
      </c>
      <c r="B130" s="10" t="n">
        <v>46181</v>
      </c>
      <c r="C130" s="9" t="s">
        <v>66</v>
      </c>
      <c r="D130" s="9" t="s">
        <v>85</v>
      </c>
      <c r="E130" s="9" t="s">
        <v>62</v>
      </c>
      <c r="F130" s="9" t="n">
        <v>1</v>
      </c>
      <c r="G130" s="9" t="n">
        <v>190</v>
      </c>
      <c r="H130" s="9" t="n">
        <v>74</v>
      </c>
      <c r="I130" s="9" t="s">
        <v>50</v>
      </c>
      <c r="J130" s="9" t="s">
        <v>51</v>
      </c>
    </row>
    <row r="131" customFormat="false" ht="15" hidden="false" customHeight="false" outlineLevel="0" collapsed="false">
      <c r="A131" s="9" t="s">
        <v>222</v>
      </c>
      <c r="B131" s="10" t="n">
        <v>46233</v>
      </c>
      <c r="C131" s="9" t="s">
        <v>83</v>
      </c>
      <c r="D131" s="9" t="s">
        <v>89</v>
      </c>
      <c r="E131" s="9" t="s">
        <v>78</v>
      </c>
      <c r="F131" s="9" t="n">
        <v>3</v>
      </c>
      <c r="G131" s="9" t="n">
        <v>240</v>
      </c>
      <c r="H131" s="9" t="n">
        <v>290</v>
      </c>
      <c r="I131" s="9" t="s">
        <v>50</v>
      </c>
      <c r="J131" s="9" t="s">
        <v>47</v>
      </c>
    </row>
    <row r="132" customFormat="false" ht="15" hidden="false" customHeight="false" outlineLevel="0" collapsed="false">
      <c r="A132" s="9" t="s">
        <v>223</v>
      </c>
      <c r="B132" s="10" t="n">
        <v>46207</v>
      </c>
      <c r="C132" s="9" t="s">
        <v>60</v>
      </c>
      <c r="D132" s="9" t="s">
        <v>80</v>
      </c>
      <c r="E132" s="9" t="s">
        <v>62</v>
      </c>
      <c r="F132" s="9" t="n">
        <v>1</v>
      </c>
      <c r="G132" s="9" t="n">
        <v>180</v>
      </c>
      <c r="H132" s="9" t="n">
        <v>73</v>
      </c>
      <c r="I132" s="9" t="s">
        <v>46</v>
      </c>
      <c r="J132" s="9" t="s">
        <v>51</v>
      </c>
    </row>
    <row r="133" customFormat="false" ht="15" hidden="false" customHeight="false" outlineLevel="0" collapsed="false">
      <c r="A133" s="9" t="s">
        <v>224</v>
      </c>
      <c r="B133" s="10" t="n">
        <v>46213</v>
      </c>
      <c r="C133" s="9" t="s">
        <v>83</v>
      </c>
      <c r="D133" s="9" t="s">
        <v>58</v>
      </c>
      <c r="E133" s="9" t="s">
        <v>45</v>
      </c>
      <c r="F133" s="9" t="n">
        <v>4</v>
      </c>
      <c r="G133" s="9" t="n">
        <v>150</v>
      </c>
      <c r="H133" s="9" t="n">
        <v>272</v>
      </c>
      <c r="I133" s="9" t="s">
        <v>50</v>
      </c>
      <c r="J133" s="9" t="s">
        <v>51</v>
      </c>
    </row>
    <row r="134" customFormat="false" ht="15" hidden="false" customHeight="false" outlineLevel="0" collapsed="false">
      <c r="A134" s="9" t="s">
        <v>225</v>
      </c>
      <c r="B134" s="10" t="n">
        <v>46206</v>
      </c>
      <c r="C134" s="9" t="s">
        <v>43</v>
      </c>
      <c r="D134" s="9" t="s">
        <v>80</v>
      </c>
      <c r="E134" s="9" t="s">
        <v>62</v>
      </c>
      <c r="F134" s="9" t="n">
        <v>1</v>
      </c>
      <c r="G134" s="9" t="n">
        <v>180</v>
      </c>
      <c r="H134" s="9" t="n">
        <v>72</v>
      </c>
      <c r="I134" s="9" t="s">
        <v>56</v>
      </c>
      <c r="J134" s="9" t="s">
        <v>51</v>
      </c>
    </row>
    <row r="135" customFormat="false" ht="15" hidden="false" customHeight="false" outlineLevel="0" collapsed="false">
      <c r="A135" s="9" t="s">
        <v>226</v>
      </c>
      <c r="B135" s="10" t="n">
        <v>46184</v>
      </c>
      <c r="C135" s="9" t="s">
        <v>83</v>
      </c>
      <c r="D135" s="9" t="s">
        <v>89</v>
      </c>
      <c r="E135" s="9" t="s">
        <v>78</v>
      </c>
      <c r="F135" s="9" t="n">
        <v>1</v>
      </c>
      <c r="G135" s="9" t="n">
        <v>240</v>
      </c>
      <c r="H135" s="9" t="n">
        <v>109</v>
      </c>
      <c r="I135" s="9" t="s">
        <v>50</v>
      </c>
      <c r="J135" s="9" t="s">
        <v>51</v>
      </c>
    </row>
    <row r="136" customFormat="false" ht="15" hidden="false" customHeight="false" outlineLevel="0" collapsed="false">
      <c r="A136" s="9" t="s">
        <v>227</v>
      </c>
      <c r="B136" s="10" t="n">
        <v>46262</v>
      </c>
      <c r="C136" s="9" t="s">
        <v>83</v>
      </c>
      <c r="D136" s="9" t="s">
        <v>69</v>
      </c>
      <c r="E136" s="9" t="s">
        <v>55</v>
      </c>
      <c r="F136" s="9" t="n">
        <v>3</v>
      </c>
      <c r="G136" s="9" t="n">
        <v>150</v>
      </c>
      <c r="H136" s="9" t="n">
        <v>230</v>
      </c>
      <c r="I136" s="9" t="s">
        <v>56</v>
      </c>
      <c r="J136" s="9" t="s">
        <v>51</v>
      </c>
    </row>
    <row r="137" customFormat="false" ht="15" hidden="false" customHeight="false" outlineLevel="0" collapsed="false">
      <c r="A137" s="9" t="s">
        <v>228</v>
      </c>
      <c r="B137" s="10" t="n">
        <v>46209</v>
      </c>
      <c r="C137" s="9" t="s">
        <v>60</v>
      </c>
      <c r="D137" s="9" t="s">
        <v>44</v>
      </c>
      <c r="E137" s="9" t="s">
        <v>45</v>
      </c>
      <c r="F137" s="9" t="n">
        <v>1</v>
      </c>
      <c r="G137" s="9" t="n">
        <v>160</v>
      </c>
      <c r="H137" s="9" t="n">
        <v>79</v>
      </c>
      <c r="I137" s="9" t="s">
        <v>50</v>
      </c>
      <c r="J137" s="9" t="s">
        <v>51</v>
      </c>
    </row>
    <row r="138" customFormat="false" ht="15" hidden="false" customHeight="false" outlineLevel="0" collapsed="false">
      <c r="A138" s="9" t="s">
        <v>229</v>
      </c>
      <c r="B138" s="10" t="n">
        <v>46261</v>
      </c>
      <c r="C138" s="9" t="s">
        <v>134</v>
      </c>
      <c r="D138" s="9" t="s">
        <v>71</v>
      </c>
      <c r="E138" s="9" t="s">
        <v>62</v>
      </c>
      <c r="F138" s="9" t="n">
        <v>1</v>
      </c>
      <c r="G138" s="9" t="n">
        <v>150</v>
      </c>
      <c r="H138" s="9" t="n">
        <v>56</v>
      </c>
      <c r="I138" s="9" t="s">
        <v>50</v>
      </c>
      <c r="J138" s="9" t="s">
        <v>51</v>
      </c>
    </row>
    <row r="139" customFormat="false" ht="15" hidden="false" customHeight="false" outlineLevel="0" collapsed="false">
      <c r="A139" s="9" t="s">
        <v>230</v>
      </c>
      <c r="B139" s="10" t="n">
        <v>46197</v>
      </c>
      <c r="C139" s="9" t="s">
        <v>43</v>
      </c>
      <c r="D139" s="9" t="s">
        <v>61</v>
      </c>
      <c r="E139" s="9" t="s">
        <v>62</v>
      </c>
      <c r="F139" s="9" t="n">
        <v>1</v>
      </c>
      <c r="G139" s="9" t="n">
        <v>170</v>
      </c>
      <c r="H139" s="9" t="n">
        <v>68</v>
      </c>
      <c r="I139" s="9" t="s">
        <v>46</v>
      </c>
      <c r="J139" s="9" t="s">
        <v>51</v>
      </c>
    </row>
    <row r="140" customFormat="false" ht="15" hidden="false" customHeight="false" outlineLevel="0" collapsed="false">
      <c r="A140" s="9" t="s">
        <v>231</v>
      </c>
      <c r="B140" s="9" t="s">
        <v>128</v>
      </c>
      <c r="C140" s="9" t="s">
        <v>60</v>
      </c>
      <c r="D140" s="9" t="s">
        <v>232</v>
      </c>
      <c r="E140" s="9" t="s">
        <v>78</v>
      </c>
      <c r="F140" s="9" t="n">
        <v>1</v>
      </c>
      <c r="G140" s="9" t="n">
        <v>200</v>
      </c>
      <c r="H140" s="9" t="n">
        <v>88</v>
      </c>
      <c r="I140" s="9" t="s">
        <v>46</v>
      </c>
      <c r="J140" s="9" t="s">
        <v>51</v>
      </c>
    </row>
    <row r="141" customFormat="false" ht="15" hidden="false" customHeight="false" outlineLevel="0" collapsed="false">
      <c r="A141" s="9" t="s">
        <v>233</v>
      </c>
      <c r="B141" s="10" t="n">
        <v>46240</v>
      </c>
      <c r="C141" s="9" t="s">
        <v>60</v>
      </c>
      <c r="D141" s="9" t="s">
        <v>73</v>
      </c>
      <c r="E141" s="9" t="s">
        <v>45</v>
      </c>
      <c r="F141" s="9" t="n">
        <v>2</v>
      </c>
      <c r="G141" s="9" t="n">
        <v>140</v>
      </c>
      <c r="H141" s="9" t="n">
        <v>144</v>
      </c>
      <c r="I141" s="9"/>
      <c r="J141" s="9" t="s">
        <v>47</v>
      </c>
    </row>
    <row r="142" customFormat="false" ht="15" hidden="false" customHeight="false" outlineLevel="0" collapsed="false">
      <c r="A142" s="9" t="s">
        <v>234</v>
      </c>
      <c r="B142" s="10" t="n">
        <v>46239</v>
      </c>
      <c r="C142" s="9" t="s">
        <v>83</v>
      </c>
      <c r="D142" s="9" t="s">
        <v>99</v>
      </c>
      <c r="E142" s="9" t="s">
        <v>45</v>
      </c>
      <c r="F142" s="9" t="n">
        <v>1</v>
      </c>
      <c r="G142" s="9" t="n">
        <v>130</v>
      </c>
      <c r="H142" s="9" t="n">
        <v>58</v>
      </c>
      <c r="I142" s="9" t="s">
        <v>50</v>
      </c>
      <c r="J142" s="9" t="s">
        <v>51</v>
      </c>
    </row>
    <row r="143" customFormat="false" ht="15" hidden="false" customHeight="false" outlineLevel="0" collapsed="false">
      <c r="A143" s="9" t="s">
        <v>235</v>
      </c>
      <c r="B143" s="10" t="n">
        <v>46213</v>
      </c>
      <c r="C143" s="9" t="s">
        <v>134</v>
      </c>
      <c r="D143" s="9" t="s">
        <v>58</v>
      </c>
      <c r="E143" s="9" t="s">
        <v>45</v>
      </c>
      <c r="F143" s="9" t="n">
        <v>1</v>
      </c>
      <c r="G143" s="9" t="n">
        <v>150</v>
      </c>
      <c r="H143" s="9" t="n">
        <v>66</v>
      </c>
      <c r="I143" s="9" t="s">
        <v>50</v>
      </c>
      <c r="J143" s="9" t="s">
        <v>51</v>
      </c>
    </row>
    <row r="144" customFormat="false" ht="15" hidden="false" customHeight="false" outlineLevel="0" collapsed="false">
      <c r="A144" s="9" t="s">
        <v>236</v>
      </c>
      <c r="B144" s="10" t="n">
        <v>46261</v>
      </c>
      <c r="C144" s="9" t="s">
        <v>83</v>
      </c>
      <c r="D144" s="9" t="s">
        <v>110</v>
      </c>
      <c r="E144" s="9" t="s">
        <v>78</v>
      </c>
      <c r="F144" s="9" t="n">
        <v>1</v>
      </c>
      <c r="G144" s="9" t="n">
        <v>200</v>
      </c>
      <c r="H144" s="9" t="n">
        <v>82</v>
      </c>
      <c r="I144" s="9" t="s">
        <v>56</v>
      </c>
      <c r="J144" s="9" t="s">
        <v>51</v>
      </c>
    </row>
    <row r="145" customFormat="false" ht="15" hidden="false" customHeight="false" outlineLevel="0" collapsed="false">
      <c r="A145" s="9" t="s">
        <v>237</v>
      </c>
      <c r="B145" s="10" t="n">
        <v>46191</v>
      </c>
      <c r="C145" s="9" t="s">
        <v>83</v>
      </c>
      <c r="D145" s="9" t="s">
        <v>54</v>
      </c>
      <c r="E145" s="9" t="s">
        <v>55</v>
      </c>
      <c r="F145" s="9" t="n">
        <v>2</v>
      </c>
      <c r="G145" s="9" t="n">
        <v>80</v>
      </c>
      <c r="H145" s="9" t="n">
        <v>81</v>
      </c>
      <c r="I145" s="9" t="s">
        <v>46</v>
      </c>
      <c r="J145" s="9" t="s">
        <v>51</v>
      </c>
    </row>
    <row r="146" customFormat="false" ht="15" hidden="false" customHeight="false" outlineLevel="0" collapsed="false">
      <c r="A146" s="9" t="s">
        <v>238</v>
      </c>
      <c r="B146" s="10" t="n">
        <v>46240</v>
      </c>
      <c r="C146" s="9" t="s">
        <v>60</v>
      </c>
      <c r="D146" s="9" t="s">
        <v>108</v>
      </c>
      <c r="E146" s="9" t="s">
        <v>78</v>
      </c>
      <c r="F146" s="9" t="n">
        <v>1</v>
      </c>
      <c r="G146" s="9" t="n">
        <v>220</v>
      </c>
      <c r="H146" s="9" t="n">
        <v>89</v>
      </c>
      <c r="I146" s="9" t="s">
        <v>50</v>
      </c>
      <c r="J146" s="9" t="s">
        <v>51</v>
      </c>
    </row>
    <row r="147" customFormat="false" ht="15" hidden="false" customHeight="false" outlineLevel="0" collapsed="false">
      <c r="A147" s="9" t="s">
        <v>239</v>
      </c>
      <c r="B147" s="10" t="n">
        <v>46243</v>
      </c>
      <c r="C147" s="9" t="s">
        <v>43</v>
      </c>
      <c r="D147" s="9" t="s">
        <v>145</v>
      </c>
      <c r="E147" s="9" t="s">
        <v>240</v>
      </c>
      <c r="F147" s="9" t="n">
        <v>1</v>
      </c>
      <c r="G147" s="9" t="n">
        <v>170</v>
      </c>
      <c r="H147" s="9" t="n">
        <v>86</v>
      </c>
      <c r="I147" s="9" t="s">
        <v>50</v>
      </c>
      <c r="J147" s="9" t="s">
        <v>51</v>
      </c>
    </row>
    <row r="148" customFormat="false" ht="15" hidden="false" customHeight="false" outlineLevel="0" collapsed="false">
      <c r="A148" s="9" t="s">
        <v>241</v>
      </c>
      <c r="B148" s="10" t="n">
        <v>46250</v>
      </c>
      <c r="C148" s="9" t="s">
        <v>43</v>
      </c>
      <c r="D148" s="9" t="s">
        <v>80</v>
      </c>
      <c r="E148" s="9" t="s">
        <v>62</v>
      </c>
      <c r="F148" s="9" t="n">
        <v>2</v>
      </c>
      <c r="G148" s="9" t="n">
        <v>180</v>
      </c>
      <c r="H148" s="9" t="n">
        <v>162</v>
      </c>
      <c r="I148" s="9" t="s">
        <v>50</v>
      </c>
      <c r="J148" s="9" t="s">
        <v>51</v>
      </c>
    </row>
    <row r="149" customFormat="false" ht="15" hidden="false" customHeight="false" outlineLevel="0" collapsed="false">
      <c r="A149" s="9" t="s">
        <v>242</v>
      </c>
      <c r="B149" s="10" t="n">
        <v>46205</v>
      </c>
      <c r="C149" s="9" t="s">
        <v>83</v>
      </c>
      <c r="D149" s="9" t="s">
        <v>96</v>
      </c>
      <c r="E149" s="9" t="s">
        <v>243</v>
      </c>
      <c r="F149" s="9" t="n">
        <v>2</v>
      </c>
      <c r="G149" s="9" t="n">
        <v>120</v>
      </c>
      <c r="H149" s="9" t="n">
        <v>100</v>
      </c>
      <c r="I149" s="9" t="s">
        <v>46</v>
      </c>
      <c r="J149" s="9" t="s">
        <v>51</v>
      </c>
    </row>
    <row r="150" customFormat="false" ht="15" hidden="false" customHeight="false" outlineLevel="0" collapsed="false">
      <c r="A150" s="9" t="s">
        <v>244</v>
      </c>
      <c r="B150" s="10" t="n">
        <v>46183</v>
      </c>
      <c r="C150" s="9" t="s">
        <v>43</v>
      </c>
      <c r="D150" s="9" t="s">
        <v>145</v>
      </c>
      <c r="E150" s="9" t="s">
        <v>55</v>
      </c>
      <c r="F150" s="9" t="n">
        <v>1</v>
      </c>
      <c r="G150" s="9" t="n">
        <v>170</v>
      </c>
      <c r="H150" s="9" t="n">
        <v>88</v>
      </c>
      <c r="I150" s="9" t="s">
        <v>50</v>
      </c>
      <c r="J150" s="9" t="s">
        <v>51</v>
      </c>
    </row>
    <row r="151" customFormat="false" ht="15" hidden="false" customHeight="false" outlineLevel="0" collapsed="false">
      <c r="A151" s="9" t="s">
        <v>245</v>
      </c>
      <c r="B151" s="10" t="n">
        <v>46177</v>
      </c>
      <c r="C151" s="9" t="s">
        <v>66</v>
      </c>
      <c r="D151" s="9" t="s">
        <v>54</v>
      </c>
      <c r="E151" s="9" t="s">
        <v>55</v>
      </c>
      <c r="F151" s="9" t="n">
        <v>3</v>
      </c>
      <c r="G151" s="9" t="n">
        <v>80</v>
      </c>
      <c r="H151" s="9" t="n">
        <v>105</v>
      </c>
      <c r="I151" s="9" t="s">
        <v>56</v>
      </c>
      <c r="J151" s="9" t="s">
        <v>47</v>
      </c>
    </row>
    <row r="152" customFormat="false" ht="15" hidden="false" customHeight="false" outlineLevel="0" collapsed="false">
      <c r="A152" s="9" t="s">
        <v>246</v>
      </c>
      <c r="B152" s="10" t="n">
        <v>46231</v>
      </c>
      <c r="C152" s="9" t="s">
        <v>43</v>
      </c>
      <c r="D152" s="9" t="s">
        <v>80</v>
      </c>
      <c r="E152" s="9" t="s">
        <v>62</v>
      </c>
      <c r="F152" s="9" t="n">
        <v>2</v>
      </c>
      <c r="G152" s="9" t="n">
        <v>180</v>
      </c>
      <c r="H152" s="9" t="n">
        <v>151</v>
      </c>
      <c r="I152" s="9" t="s">
        <v>50</v>
      </c>
      <c r="J152" s="9" t="s">
        <v>51</v>
      </c>
    </row>
    <row r="153" customFormat="false" ht="15" hidden="false" customHeight="false" outlineLevel="0" collapsed="false">
      <c r="A153" s="9" t="s">
        <v>247</v>
      </c>
      <c r="B153" s="10" t="n">
        <v>46206</v>
      </c>
      <c r="C153" s="9" t="s">
        <v>83</v>
      </c>
      <c r="D153" s="9" t="s">
        <v>69</v>
      </c>
      <c r="E153" s="9" t="s">
        <v>55</v>
      </c>
      <c r="F153" s="9" t="n">
        <v>1</v>
      </c>
      <c r="G153" s="9" t="n">
        <v>150</v>
      </c>
      <c r="H153" s="9" t="n">
        <v>73</v>
      </c>
      <c r="I153" s="9" t="s">
        <v>50</v>
      </c>
      <c r="J153" s="9" t="s">
        <v>47</v>
      </c>
    </row>
    <row r="154" customFormat="false" ht="15" hidden="false" customHeight="false" outlineLevel="0" collapsed="false">
      <c r="A154" s="9" t="s">
        <v>248</v>
      </c>
      <c r="B154" s="10" t="n">
        <v>46225</v>
      </c>
      <c r="C154" s="9" t="s">
        <v>43</v>
      </c>
      <c r="D154" s="9" t="s">
        <v>44</v>
      </c>
      <c r="E154" s="9" t="s">
        <v>116</v>
      </c>
      <c r="F154" s="9" t="n">
        <v>1</v>
      </c>
      <c r="G154" s="9" t="n">
        <v>160</v>
      </c>
      <c r="H154" s="9" t="n">
        <v>70</v>
      </c>
      <c r="I154" s="9" t="s">
        <v>50</v>
      </c>
      <c r="J154" s="9" t="s">
        <v>51</v>
      </c>
    </row>
    <row r="155" customFormat="false" ht="15" hidden="false" customHeight="false" outlineLevel="0" collapsed="false">
      <c r="A155" s="9" t="s">
        <v>249</v>
      </c>
      <c r="B155" s="10" t="n">
        <v>46174</v>
      </c>
      <c r="C155" s="9" t="s">
        <v>60</v>
      </c>
      <c r="D155" s="9" t="s">
        <v>58</v>
      </c>
      <c r="E155" s="9" t="s">
        <v>45</v>
      </c>
      <c r="F155" s="9" t="n">
        <v>4</v>
      </c>
      <c r="G155" s="9" t="n">
        <v>150</v>
      </c>
      <c r="H155" s="9" t="n">
        <v>310</v>
      </c>
      <c r="I155" s="9" t="s">
        <v>50</v>
      </c>
      <c r="J155" s="9" t="s">
        <v>51</v>
      </c>
    </row>
    <row r="156" customFormat="false" ht="15" hidden="false" customHeight="false" outlineLevel="0" collapsed="false">
      <c r="A156" s="9" t="s">
        <v>250</v>
      </c>
      <c r="B156" s="10" t="n">
        <v>46235</v>
      </c>
      <c r="C156" s="9" t="s">
        <v>43</v>
      </c>
      <c r="D156" s="9" t="s">
        <v>44</v>
      </c>
      <c r="E156" s="9" t="s">
        <v>45</v>
      </c>
      <c r="F156" s="9" t="n">
        <v>3</v>
      </c>
      <c r="G156" s="9" t="n">
        <v>160</v>
      </c>
      <c r="H156" s="9" t="n">
        <v>235</v>
      </c>
      <c r="I156" s="9"/>
      <c r="J156" s="9" t="s">
        <v>51</v>
      </c>
    </row>
    <row r="157" customFormat="false" ht="15" hidden="false" customHeight="false" outlineLevel="0" collapsed="false">
      <c r="A157" s="9" t="s">
        <v>251</v>
      </c>
      <c r="B157" s="10" t="n">
        <v>46242</v>
      </c>
      <c r="C157" s="9" t="s">
        <v>66</v>
      </c>
      <c r="D157" s="9" t="s">
        <v>71</v>
      </c>
      <c r="E157" s="9" t="s">
        <v>62</v>
      </c>
      <c r="F157" s="9" t="n">
        <v>2</v>
      </c>
      <c r="G157" s="9" t="n">
        <v>150</v>
      </c>
      <c r="H157" s="9" t="n">
        <v>114</v>
      </c>
      <c r="I157" s="9" t="s">
        <v>50</v>
      </c>
      <c r="J157" s="9" t="s">
        <v>51</v>
      </c>
    </row>
    <row r="158" customFormat="false" ht="15" hidden="false" customHeight="false" outlineLevel="0" collapsed="false">
      <c r="A158" s="9" t="s">
        <v>252</v>
      </c>
      <c r="B158" s="10" t="n">
        <v>46177</v>
      </c>
      <c r="C158" s="9" t="s">
        <v>53</v>
      </c>
      <c r="D158" s="9" t="s">
        <v>96</v>
      </c>
      <c r="E158" s="9" t="s">
        <v>162</v>
      </c>
      <c r="F158" s="9" t="n">
        <v>1</v>
      </c>
      <c r="G158" s="9" t="n">
        <v>120</v>
      </c>
      <c r="H158" s="9" t="n">
        <v>54</v>
      </c>
      <c r="I158" s="9" t="s">
        <v>50</v>
      </c>
      <c r="J158" s="9" t="s">
        <v>47</v>
      </c>
    </row>
    <row r="159" customFormat="false" ht="15" hidden="false" customHeight="false" outlineLevel="0" collapsed="false">
      <c r="A159" s="9" t="s">
        <v>253</v>
      </c>
      <c r="B159" s="10" t="n">
        <v>46252</v>
      </c>
      <c r="C159" s="9" t="s">
        <v>60</v>
      </c>
      <c r="D159" s="9" t="s">
        <v>54</v>
      </c>
      <c r="E159" s="9" t="s">
        <v>55</v>
      </c>
      <c r="F159" s="9" t="n">
        <v>1</v>
      </c>
      <c r="G159" s="9" t="n">
        <v>80</v>
      </c>
      <c r="H159" s="9" t="n">
        <v>39</v>
      </c>
      <c r="I159" s="9" t="s">
        <v>56</v>
      </c>
      <c r="J159" s="9" t="s">
        <v>51</v>
      </c>
    </row>
    <row r="160" customFormat="false" ht="15" hidden="false" customHeight="false" outlineLevel="0" collapsed="false">
      <c r="A160" s="9" t="s">
        <v>254</v>
      </c>
      <c r="B160" s="10" t="n">
        <v>46252</v>
      </c>
      <c r="C160" s="9" t="s">
        <v>43</v>
      </c>
      <c r="D160" s="9" t="s">
        <v>69</v>
      </c>
      <c r="E160" s="9" t="s">
        <v>55</v>
      </c>
      <c r="F160" s="9" t="n">
        <v>3</v>
      </c>
      <c r="G160" s="9" t="n">
        <v>150</v>
      </c>
      <c r="H160" s="9" t="n">
        <v>209</v>
      </c>
      <c r="I160" s="9" t="s">
        <v>46</v>
      </c>
      <c r="J160" s="9" t="s">
        <v>51</v>
      </c>
    </row>
    <row r="161" customFormat="false" ht="15" hidden="false" customHeight="false" outlineLevel="0" collapsed="false">
      <c r="A161" s="9" t="s">
        <v>255</v>
      </c>
      <c r="B161" s="10" t="n">
        <v>46235</v>
      </c>
      <c r="C161" s="9" t="s">
        <v>43</v>
      </c>
      <c r="D161" s="9" t="s">
        <v>69</v>
      </c>
      <c r="E161" s="9" t="s">
        <v>55</v>
      </c>
      <c r="F161" s="9"/>
      <c r="G161" s="9" t="n">
        <v>150</v>
      </c>
      <c r="H161" s="9" t="n">
        <v>76</v>
      </c>
      <c r="I161" s="9" t="s">
        <v>46</v>
      </c>
      <c r="J161" s="9" t="s">
        <v>51</v>
      </c>
    </row>
    <row r="162" customFormat="false" ht="15" hidden="false" customHeight="false" outlineLevel="0" collapsed="false">
      <c r="A162" s="9" t="s">
        <v>256</v>
      </c>
      <c r="B162" s="10" t="n">
        <v>46198</v>
      </c>
      <c r="C162" s="9" t="s">
        <v>43</v>
      </c>
      <c r="D162" s="9" t="s">
        <v>58</v>
      </c>
      <c r="E162" s="9" t="s">
        <v>156</v>
      </c>
      <c r="F162" s="9" t="n">
        <v>2</v>
      </c>
      <c r="G162" s="9" t="n">
        <v>150</v>
      </c>
      <c r="H162" s="9" t="n">
        <v>126</v>
      </c>
      <c r="I162" s="9" t="s">
        <v>46</v>
      </c>
      <c r="J162" s="9" t="s">
        <v>51</v>
      </c>
    </row>
    <row r="163" customFormat="false" ht="15" hidden="false" customHeight="false" outlineLevel="0" collapsed="false">
      <c r="A163" s="9" t="s">
        <v>257</v>
      </c>
      <c r="B163" s="9" t="s">
        <v>258</v>
      </c>
      <c r="C163" s="9" t="s">
        <v>43</v>
      </c>
      <c r="D163" s="9" t="s">
        <v>99</v>
      </c>
      <c r="E163" s="9" t="s">
        <v>45</v>
      </c>
      <c r="F163" s="9" t="n">
        <v>1</v>
      </c>
      <c r="G163" s="9" t="n">
        <v>130</v>
      </c>
      <c r="H163" s="9" t="n">
        <v>57</v>
      </c>
      <c r="I163" s="9" t="s">
        <v>56</v>
      </c>
      <c r="J163" s="9" t="s">
        <v>51</v>
      </c>
    </row>
    <row r="164" customFormat="false" ht="15" hidden="false" customHeight="false" outlineLevel="0" collapsed="false">
      <c r="A164" s="9" t="s">
        <v>259</v>
      </c>
      <c r="B164" s="10" t="n">
        <v>46263</v>
      </c>
      <c r="C164" s="9" t="s">
        <v>66</v>
      </c>
      <c r="D164" s="9" t="s">
        <v>145</v>
      </c>
      <c r="E164" s="9" t="s">
        <v>55</v>
      </c>
      <c r="F164" s="9" t="n">
        <v>2</v>
      </c>
      <c r="G164" s="9" t="n">
        <v>170</v>
      </c>
      <c r="H164" s="9" t="n">
        <v>168</v>
      </c>
      <c r="I164" s="9" t="s">
        <v>56</v>
      </c>
      <c r="J164" s="9" t="s">
        <v>51</v>
      </c>
    </row>
    <row r="165" customFormat="false" ht="15" hidden="false" customHeight="false" outlineLevel="0" collapsed="false">
      <c r="A165" s="9" t="s">
        <v>260</v>
      </c>
      <c r="B165" s="10" t="n">
        <v>46178</v>
      </c>
      <c r="C165" s="9" t="s">
        <v>43</v>
      </c>
      <c r="D165" s="9" t="s">
        <v>96</v>
      </c>
      <c r="E165" s="9" t="s">
        <v>62</v>
      </c>
      <c r="F165" s="9" t="n">
        <v>1</v>
      </c>
      <c r="G165" s="9" t="n">
        <v>120</v>
      </c>
      <c r="H165" s="9" t="n">
        <v>53</v>
      </c>
      <c r="I165" s="9" t="s">
        <v>50</v>
      </c>
      <c r="J165" s="9" t="s">
        <v>51</v>
      </c>
    </row>
    <row r="166" customFormat="false" ht="15" hidden="false" customHeight="false" outlineLevel="0" collapsed="false">
      <c r="A166" s="9" t="s">
        <v>261</v>
      </c>
      <c r="B166" s="10" t="n">
        <v>46199</v>
      </c>
      <c r="C166" s="9" t="s">
        <v>83</v>
      </c>
      <c r="D166" s="9" t="s">
        <v>89</v>
      </c>
      <c r="E166" s="9" t="s">
        <v>78</v>
      </c>
      <c r="F166" s="9" t="n">
        <v>1</v>
      </c>
      <c r="G166" s="9" t="n">
        <v>240</v>
      </c>
      <c r="H166" s="9" t="n">
        <v>97</v>
      </c>
      <c r="I166" s="9" t="s">
        <v>50</v>
      </c>
      <c r="J166" s="9" t="s">
        <v>47</v>
      </c>
    </row>
    <row r="167" customFormat="false" ht="15" hidden="false" customHeight="false" outlineLevel="0" collapsed="false">
      <c r="A167" s="9" t="s">
        <v>262</v>
      </c>
      <c r="B167" s="10" t="n">
        <v>46211</v>
      </c>
      <c r="C167" s="9" t="s">
        <v>43</v>
      </c>
      <c r="D167" s="9" t="s">
        <v>69</v>
      </c>
      <c r="E167" s="9" t="s">
        <v>55</v>
      </c>
      <c r="F167" s="9" t="n">
        <v>2</v>
      </c>
      <c r="G167" s="9" t="n">
        <v>150</v>
      </c>
      <c r="H167" s="9" t="n">
        <v>161</v>
      </c>
      <c r="I167" s="9" t="s">
        <v>50</v>
      </c>
      <c r="J167" s="9" t="s">
        <v>47</v>
      </c>
    </row>
    <row r="168" customFormat="false" ht="15" hidden="false" customHeight="false" outlineLevel="0" collapsed="false">
      <c r="A168" s="9" t="s">
        <v>263</v>
      </c>
      <c r="B168" s="10" t="n">
        <v>46255</v>
      </c>
      <c r="C168" s="9" t="s">
        <v>43</v>
      </c>
      <c r="D168" s="9" t="s">
        <v>108</v>
      </c>
      <c r="E168" s="9" t="s">
        <v>78</v>
      </c>
      <c r="F168" s="9" t="n">
        <v>1</v>
      </c>
      <c r="G168" s="9" t="n">
        <v>220</v>
      </c>
      <c r="H168" s="9" t="n">
        <v>90</v>
      </c>
      <c r="I168" s="9" t="s">
        <v>56</v>
      </c>
      <c r="J168" s="9" t="s">
        <v>51</v>
      </c>
    </row>
    <row r="169" customFormat="false" ht="15" hidden="false" customHeight="false" outlineLevel="0" collapsed="false">
      <c r="A169" s="9" t="s">
        <v>264</v>
      </c>
      <c r="B169" s="10" t="n">
        <v>46198</v>
      </c>
      <c r="C169" s="9" t="s">
        <v>60</v>
      </c>
      <c r="D169" s="9" t="s">
        <v>54</v>
      </c>
      <c r="E169" s="9" t="s">
        <v>55</v>
      </c>
      <c r="F169" s="9" t="n">
        <v>3</v>
      </c>
      <c r="G169" s="9" t="n">
        <v>80</v>
      </c>
      <c r="H169" s="9" t="n">
        <v>123</v>
      </c>
      <c r="I169" s="9" t="s">
        <v>50</v>
      </c>
      <c r="J169" s="9" t="s">
        <v>47</v>
      </c>
    </row>
    <row r="170" customFormat="false" ht="15" hidden="false" customHeight="false" outlineLevel="0" collapsed="false">
      <c r="A170" s="9" t="s">
        <v>265</v>
      </c>
      <c r="B170" s="10" t="n">
        <v>46217</v>
      </c>
      <c r="C170" s="9" t="s">
        <v>60</v>
      </c>
      <c r="D170" s="9" t="s">
        <v>73</v>
      </c>
      <c r="E170" s="9" t="s">
        <v>45</v>
      </c>
      <c r="F170" s="9" t="n">
        <v>1</v>
      </c>
      <c r="G170" s="9" t="n">
        <v>140</v>
      </c>
      <c r="H170" s="9" t="n">
        <v>68</v>
      </c>
      <c r="I170" s="9" t="s">
        <v>46</v>
      </c>
      <c r="J170" s="9" t="s">
        <v>51</v>
      </c>
    </row>
    <row r="171" customFormat="false" ht="15" hidden="false" customHeight="false" outlineLevel="0" collapsed="false">
      <c r="A171" s="9" t="s">
        <v>266</v>
      </c>
      <c r="B171" s="10" t="n">
        <v>46217</v>
      </c>
      <c r="C171" s="9" t="s">
        <v>66</v>
      </c>
      <c r="D171" s="9" t="s">
        <v>85</v>
      </c>
      <c r="E171" s="9" t="s">
        <v>243</v>
      </c>
      <c r="F171" s="9" t="n">
        <v>1</v>
      </c>
      <c r="G171" s="9" t="n">
        <v>190</v>
      </c>
      <c r="H171" s="9" t="n">
        <v>71</v>
      </c>
      <c r="I171" s="9" t="s">
        <v>46</v>
      </c>
      <c r="J171" s="9" t="s">
        <v>51</v>
      </c>
    </row>
    <row r="172" customFormat="false" ht="15" hidden="false" customHeight="false" outlineLevel="0" collapsed="false">
      <c r="A172" s="9" t="s">
        <v>267</v>
      </c>
      <c r="B172" s="10" t="n">
        <v>46184</v>
      </c>
      <c r="C172" s="9" t="s">
        <v>66</v>
      </c>
      <c r="D172" s="9" t="s">
        <v>61</v>
      </c>
      <c r="E172" s="9" t="s">
        <v>62</v>
      </c>
      <c r="F172" s="9" t="n">
        <v>1</v>
      </c>
      <c r="G172" s="9" t="n">
        <v>170</v>
      </c>
      <c r="H172" s="9" t="n">
        <v>63</v>
      </c>
      <c r="I172" s="9" t="s">
        <v>50</v>
      </c>
      <c r="J172" s="9" t="s">
        <v>51</v>
      </c>
    </row>
    <row r="173" customFormat="false" ht="15" hidden="false" customHeight="false" outlineLevel="0" collapsed="false">
      <c r="A173" s="9" t="s">
        <v>268</v>
      </c>
      <c r="B173" s="10" t="n">
        <v>46236</v>
      </c>
      <c r="C173" s="9" t="s">
        <v>83</v>
      </c>
      <c r="D173" s="9" t="s">
        <v>44</v>
      </c>
      <c r="E173" s="9" t="s">
        <v>45</v>
      </c>
      <c r="F173" s="9" t="n">
        <v>1</v>
      </c>
      <c r="G173" s="9" t="n">
        <v>160</v>
      </c>
      <c r="H173" s="9" t="n">
        <v>67</v>
      </c>
      <c r="I173" s="9" t="s">
        <v>50</v>
      </c>
      <c r="J173" s="9" t="s">
        <v>51</v>
      </c>
    </row>
    <row r="174" customFormat="false" ht="15" hidden="false" customHeight="false" outlineLevel="0" collapsed="false">
      <c r="A174" s="9" t="s">
        <v>269</v>
      </c>
      <c r="B174" s="10" t="n">
        <v>46219</v>
      </c>
      <c r="C174" s="9" t="s">
        <v>66</v>
      </c>
      <c r="D174" s="9" t="s">
        <v>270</v>
      </c>
      <c r="E174" s="9" t="s">
        <v>62</v>
      </c>
      <c r="F174" s="9" t="n">
        <v>2</v>
      </c>
      <c r="G174" s="9" t="n">
        <v>120</v>
      </c>
      <c r="H174" s="9" t="n">
        <v>89</v>
      </c>
      <c r="I174" s="9" t="s">
        <v>50</v>
      </c>
      <c r="J174" s="9" t="s">
        <v>51</v>
      </c>
    </row>
    <row r="175" customFormat="false" ht="15" hidden="false" customHeight="false" outlineLevel="0" collapsed="false">
      <c r="A175" s="9" t="s">
        <v>271</v>
      </c>
      <c r="B175" s="10" t="n">
        <v>46206</v>
      </c>
      <c r="C175" s="9" t="s">
        <v>60</v>
      </c>
      <c r="D175" s="9" t="s">
        <v>99</v>
      </c>
      <c r="E175" s="9" t="s">
        <v>45</v>
      </c>
      <c r="F175" s="9" t="n">
        <v>2</v>
      </c>
      <c r="G175" s="9" t="n">
        <v>130</v>
      </c>
      <c r="H175" s="9" t="n">
        <v>127</v>
      </c>
      <c r="I175" s="9" t="s">
        <v>50</v>
      </c>
      <c r="J175" s="9" t="s">
        <v>51</v>
      </c>
    </row>
    <row r="176" customFormat="false" ht="15" hidden="false" customHeight="false" outlineLevel="0" collapsed="false">
      <c r="A176" s="9" t="s">
        <v>272</v>
      </c>
      <c r="B176" s="10" t="n">
        <v>46216</v>
      </c>
      <c r="C176" s="9" t="s">
        <v>83</v>
      </c>
      <c r="D176" s="9" t="s">
        <v>89</v>
      </c>
      <c r="E176" s="9" t="s">
        <v>105</v>
      </c>
      <c r="F176" s="9" t="n">
        <v>2</v>
      </c>
      <c r="G176" s="9" t="n">
        <v>240</v>
      </c>
      <c r="H176" s="9" t="n">
        <v>195</v>
      </c>
      <c r="I176" s="9" t="s">
        <v>46</v>
      </c>
      <c r="J176" s="9" t="s">
        <v>51</v>
      </c>
    </row>
    <row r="177" customFormat="false" ht="15" hidden="false" customHeight="false" outlineLevel="0" collapsed="false">
      <c r="A177" s="9" t="s">
        <v>273</v>
      </c>
      <c r="B177" s="10" t="n">
        <v>46257</v>
      </c>
      <c r="C177" s="9" t="s">
        <v>43</v>
      </c>
      <c r="D177" s="9" t="s">
        <v>145</v>
      </c>
      <c r="E177" s="9" t="s">
        <v>55</v>
      </c>
      <c r="F177" s="9" t="n">
        <v>2</v>
      </c>
      <c r="G177" s="9" t="n">
        <v>170</v>
      </c>
      <c r="H177" s="9" t="n">
        <v>149</v>
      </c>
      <c r="I177" s="9" t="s">
        <v>56</v>
      </c>
      <c r="J177" s="9" t="s">
        <v>51</v>
      </c>
    </row>
    <row r="178" customFormat="false" ht="15" hidden="false" customHeight="false" outlineLevel="0" collapsed="false">
      <c r="A178" s="9" t="s">
        <v>274</v>
      </c>
      <c r="B178" s="10" t="n">
        <v>46192</v>
      </c>
      <c r="C178" s="9" t="s">
        <v>60</v>
      </c>
      <c r="D178" s="9" t="s">
        <v>58</v>
      </c>
      <c r="E178" s="9" t="s">
        <v>45</v>
      </c>
      <c r="F178" s="9" t="n">
        <v>1</v>
      </c>
      <c r="G178" s="9" t="n">
        <v>150</v>
      </c>
      <c r="H178" s="9" t="n">
        <v>75</v>
      </c>
      <c r="I178" s="9" t="s">
        <v>50</v>
      </c>
      <c r="J178" s="9" t="s">
        <v>47</v>
      </c>
    </row>
    <row r="179" customFormat="false" ht="15" hidden="false" customHeight="false" outlineLevel="0" collapsed="false">
      <c r="A179" s="9" t="s">
        <v>275</v>
      </c>
      <c r="B179" s="10" t="n">
        <v>46265</v>
      </c>
      <c r="C179" s="9" t="s">
        <v>43</v>
      </c>
      <c r="D179" s="9" t="s">
        <v>85</v>
      </c>
      <c r="E179" s="9" t="s">
        <v>62</v>
      </c>
      <c r="F179" s="9" t="n">
        <v>2</v>
      </c>
      <c r="G179" s="9" t="n">
        <v>190</v>
      </c>
      <c r="H179" s="9" t="n">
        <v>152</v>
      </c>
      <c r="I179" s="9" t="s">
        <v>50</v>
      </c>
      <c r="J179" s="9" t="s">
        <v>51</v>
      </c>
    </row>
    <row r="180" customFormat="false" ht="15" hidden="false" customHeight="false" outlineLevel="0" collapsed="false">
      <c r="A180" s="9" t="s">
        <v>276</v>
      </c>
      <c r="B180" s="10" t="n">
        <v>46207</v>
      </c>
      <c r="C180" s="9" t="s">
        <v>43</v>
      </c>
      <c r="D180" s="9" t="s">
        <v>89</v>
      </c>
      <c r="E180" s="9" t="s">
        <v>78</v>
      </c>
      <c r="F180" s="9" t="n">
        <v>1</v>
      </c>
      <c r="G180" s="9" t="n">
        <v>240</v>
      </c>
      <c r="H180" s="9" t="n">
        <v>112</v>
      </c>
      <c r="I180" s="9" t="s">
        <v>50</v>
      </c>
      <c r="J180" s="9" t="s">
        <v>51</v>
      </c>
    </row>
    <row r="181" customFormat="false" ht="15" hidden="false" customHeight="false" outlineLevel="0" collapsed="false">
      <c r="A181" s="9" t="s">
        <v>277</v>
      </c>
      <c r="B181" s="10" t="n">
        <v>46177</v>
      </c>
      <c r="C181" s="9" t="s">
        <v>83</v>
      </c>
      <c r="D181" s="9" t="s">
        <v>80</v>
      </c>
      <c r="E181" s="9" t="s">
        <v>62</v>
      </c>
      <c r="F181" s="9" t="n">
        <v>1</v>
      </c>
      <c r="G181" s="9" t="n">
        <v>180</v>
      </c>
      <c r="H181" s="9" t="n">
        <v>77</v>
      </c>
      <c r="I181" s="9" t="s">
        <v>50</v>
      </c>
      <c r="J181" s="9" t="s">
        <v>51</v>
      </c>
    </row>
    <row r="182" customFormat="false" ht="15" hidden="false" customHeight="false" outlineLevel="0" collapsed="false">
      <c r="A182" s="9" t="s">
        <v>278</v>
      </c>
      <c r="B182" s="10" t="n">
        <v>46197</v>
      </c>
      <c r="C182" s="9" t="s">
        <v>60</v>
      </c>
      <c r="D182" s="9" t="s">
        <v>61</v>
      </c>
      <c r="E182" s="9" t="s">
        <v>62</v>
      </c>
      <c r="F182" s="9" t="n">
        <v>3</v>
      </c>
      <c r="G182" s="9" t="n">
        <v>170</v>
      </c>
      <c r="H182" s="9" t="n">
        <v>222</v>
      </c>
      <c r="I182" s="9" t="s">
        <v>46</v>
      </c>
      <c r="J182" s="9" t="s">
        <v>47</v>
      </c>
    </row>
    <row r="183" customFormat="false" ht="15" hidden="false" customHeight="false" outlineLevel="0" collapsed="false">
      <c r="A183" s="9" t="s">
        <v>279</v>
      </c>
      <c r="B183" s="10" t="n">
        <v>46224</v>
      </c>
      <c r="C183" s="9" t="s">
        <v>83</v>
      </c>
      <c r="D183" s="9" t="s">
        <v>44</v>
      </c>
      <c r="E183" s="9" t="s">
        <v>45</v>
      </c>
      <c r="F183" s="9" t="n">
        <v>1</v>
      </c>
      <c r="G183" s="9" t="n">
        <v>160</v>
      </c>
      <c r="H183" s="9" t="n">
        <v>73</v>
      </c>
      <c r="I183" s="9" t="s">
        <v>50</v>
      </c>
      <c r="J183" s="9" t="s">
        <v>51</v>
      </c>
    </row>
    <row r="184" customFormat="false" ht="15" hidden="false" customHeight="false" outlineLevel="0" collapsed="false">
      <c r="A184" s="9" t="s">
        <v>280</v>
      </c>
      <c r="B184" s="10" t="n">
        <v>46259</v>
      </c>
      <c r="C184" s="9" t="s">
        <v>43</v>
      </c>
      <c r="D184" s="9" t="s">
        <v>96</v>
      </c>
      <c r="E184" s="9" t="s">
        <v>62</v>
      </c>
      <c r="F184" s="9" t="n">
        <v>2</v>
      </c>
      <c r="G184" s="9" t="n">
        <v>120</v>
      </c>
      <c r="H184" s="9" t="n">
        <v>101</v>
      </c>
      <c r="I184" s="9" t="s">
        <v>50</v>
      </c>
      <c r="J184" s="9" t="s">
        <v>51</v>
      </c>
    </row>
    <row r="185" customFormat="false" ht="15" hidden="false" customHeight="false" outlineLevel="0" collapsed="false">
      <c r="A185" s="9" t="s">
        <v>281</v>
      </c>
      <c r="B185" s="10" t="n">
        <v>46187</v>
      </c>
      <c r="C185" s="9" t="s">
        <v>43</v>
      </c>
      <c r="D185" s="9" t="s">
        <v>110</v>
      </c>
      <c r="E185" s="9" t="s">
        <v>78</v>
      </c>
      <c r="F185" s="9" t="n">
        <v>1</v>
      </c>
      <c r="G185" s="9" t="n">
        <v>200</v>
      </c>
      <c r="H185" s="9" t="n">
        <v>80</v>
      </c>
      <c r="I185" s="9" t="s">
        <v>46</v>
      </c>
      <c r="J185" s="9" t="s">
        <v>51</v>
      </c>
    </row>
    <row r="186" customFormat="false" ht="15" hidden="false" customHeight="false" outlineLevel="0" collapsed="false">
      <c r="A186" s="9" t="s">
        <v>282</v>
      </c>
      <c r="B186" s="10" t="n">
        <v>46265</v>
      </c>
      <c r="C186" s="9" t="s">
        <v>60</v>
      </c>
      <c r="D186" s="9" t="s">
        <v>283</v>
      </c>
      <c r="E186" s="9" t="s">
        <v>78</v>
      </c>
      <c r="F186" s="9" t="n">
        <v>1</v>
      </c>
      <c r="G186" s="9" t="n">
        <v>150</v>
      </c>
      <c r="H186" s="9" t="n">
        <v>68</v>
      </c>
      <c r="I186" s="9" t="s">
        <v>46</v>
      </c>
      <c r="J186" s="9" t="s">
        <v>51</v>
      </c>
    </row>
    <row r="187" customFormat="false" ht="15" hidden="false" customHeight="false" outlineLevel="0" collapsed="false">
      <c r="A187" s="9" t="s">
        <v>284</v>
      </c>
      <c r="B187" s="10" t="n">
        <v>46254</v>
      </c>
      <c r="C187" s="9" t="s">
        <v>60</v>
      </c>
      <c r="D187" s="9" t="s">
        <v>67</v>
      </c>
      <c r="E187" s="9" t="s">
        <v>55</v>
      </c>
      <c r="F187" s="9" t="n">
        <v>1</v>
      </c>
      <c r="G187" s="9" t="n">
        <v>190</v>
      </c>
      <c r="H187" s="9" t="n">
        <v>86</v>
      </c>
      <c r="I187" s="9" t="s">
        <v>50</v>
      </c>
      <c r="J187" s="9" t="s">
        <v>51</v>
      </c>
    </row>
    <row r="188" customFormat="false" ht="15" hidden="false" customHeight="false" outlineLevel="0" collapsed="false">
      <c r="A188" s="9" t="s">
        <v>285</v>
      </c>
      <c r="B188" s="10" t="n">
        <v>46224</v>
      </c>
      <c r="C188" s="9" t="s">
        <v>60</v>
      </c>
      <c r="D188" s="9" t="s">
        <v>110</v>
      </c>
      <c r="E188" s="9" t="s">
        <v>78</v>
      </c>
      <c r="F188" s="9" t="n">
        <v>4</v>
      </c>
      <c r="G188" s="9" t="n">
        <v>200</v>
      </c>
      <c r="H188" s="9" t="n">
        <v>331</v>
      </c>
      <c r="I188" s="9" t="s">
        <v>56</v>
      </c>
      <c r="J188" s="9" t="s">
        <v>51</v>
      </c>
    </row>
    <row r="189" customFormat="false" ht="15" hidden="false" customHeight="false" outlineLevel="0" collapsed="false">
      <c r="A189" s="9" t="s">
        <v>286</v>
      </c>
      <c r="B189" s="10" t="n">
        <v>46265</v>
      </c>
      <c r="C189" s="9" t="s">
        <v>43</v>
      </c>
      <c r="D189" s="9" t="s">
        <v>73</v>
      </c>
      <c r="E189" s="9" t="s">
        <v>116</v>
      </c>
      <c r="F189" s="9" t="n">
        <v>1</v>
      </c>
      <c r="G189" s="9" t="n">
        <v>140</v>
      </c>
      <c r="H189" s="9" t="n">
        <v>57</v>
      </c>
      <c r="I189" s="9" t="s">
        <v>50</v>
      </c>
      <c r="J189" s="9" t="s">
        <v>51</v>
      </c>
    </row>
    <row r="190" customFormat="false" ht="15" hidden="false" customHeight="false" outlineLevel="0" collapsed="false">
      <c r="A190" s="9" t="s">
        <v>287</v>
      </c>
      <c r="B190" s="10" t="n">
        <v>46187</v>
      </c>
      <c r="C190" s="9" t="s">
        <v>83</v>
      </c>
      <c r="D190" s="9" t="s">
        <v>71</v>
      </c>
      <c r="E190" s="9" t="s">
        <v>62</v>
      </c>
      <c r="F190" s="9" t="n">
        <v>2</v>
      </c>
      <c r="G190" s="9" t="n">
        <v>150</v>
      </c>
      <c r="H190" s="9" t="n">
        <v>106</v>
      </c>
      <c r="I190" s="9" t="s">
        <v>46</v>
      </c>
      <c r="J190" s="9" t="s">
        <v>51</v>
      </c>
    </row>
    <row r="191" customFormat="false" ht="15" hidden="false" customHeight="false" outlineLevel="0" collapsed="false">
      <c r="A191" s="9" t="s">
        <v>261</v>
      </c>
      <c r="B191" s="10" t="n">
        <v>46199</v>
      </c>
      <c r="C191" s="9" t="s">
        <v>83</v>
      </c>
      <c r="D191" s="9" t="s">
        <v>89</v>
      </c>
      <c r="E191" s="9" t="s">
        <v>78</v>
      </c>
      <c r="F191" s="9" t="n">
        <v>1</v>
      </c>
      <c r="G191" s="9" t="n">
        <v>240</v>
      </c>
      <c r="H191" s="9" t="n">
        <v>97</v>
      </c>
      <c r="I191" s="9" t="s">
        <v>50</v>
      </c>
      <c r="J191" s="9" t="s">
        <v>47</v>
      </c>
    </row>
    <row r="192" customFormat="false" ht="15" hidden="false" customHeight="false" outlineLevel="0" collapsed="false">
      <c r="A192" s="9" t="s">
        <v>288</v>
      </c>
      <c r="B192" s="10" t="n">
        <v>46212</v>
      </c>
      <c r="C192" s="9" t="s">
        <v>66</v>
      </c>
      <c r="D192" s="9" t="s">
        <v>89</v>
      </c>
      <c r="E192" s="9" t="s">
        <v>78</v>
      </c>
      <c r="F192" s="9" t="n">
        <v>1</v>
      </c>
      <c r="G192" s="9" t="n">
        <v>240</v>
      </c>
      <c r="H192" s="9" t="n">
        <v>99</v>
      </c>
      <c r="I192" s="9" t="s">
        <v>50</v>
      </c>
      <c r="J192" s="9" t="s">
        <v>51</v>
      </c>
    </row>
    <row r="193" customFormat="false" ht="15" hidden="false" customHeight="false" outlineLevel="0" collapsed="false">
      <c r="A193" s="9" t="s">
        <v>289</v>
      </c>
      <c r="B193" s="9" t="s">
        <v>290</v>
      </c>
      <c r="C193" s="9" t="s">
        <v>60</v>
      </c>
      <c r="D193" s="9" t="s">
        <v>67</v>
      </c>
      <c r="E193" s="9" t="s">
        <v>55</v>
      </c>
      <c r="F193" s="9" t="n">
        <v>1</v>
      </c>
      <c r="G193" s="9" t="n">
        <v>190</v>
      </c>
      <c r="H193" s="9" t="n">
        <v>82</v>
      </c>
      <c r="I193" s="9" t="s">
        <v>56</v>
      </c>
      <c r="J193" s="9" t="s">
        <v>51</v>
      </c>
    </row>
    <row r="194" customFormat="false" ht="15" hidden="false" customHeight="false" outlineLevel="0" collapsed="false">
      <c r="A194" s="9" t="s">
        <v>291</v>
      </c>
      <c r="B194" s="10" t="n">
        <v>46231</v>
      </c>
      <c r="C194" s="9" t="s">
        <v>66</v>
      </c>
      <c r="D194" s="9" t="s">
        <v>89</v>
      </c>
      <c r="E194" s="9" t="s">
        <v>78</v>
      </c>
      <c r="F194" s="9" t="n">
        <v>4</v>
      </c>
      <c r="G194" s="9" t="n">
        <v>240</v>
      </c>
      <c r="H194" s="9" t="n">
        <v>390</v>
      </c>
      <c r="I194" s="9" t="s">
        <v>46</v>
      </c>
      <c r="J194" s="9" t="s">
        <v>51</v>
      </c>
    </row>
    <row r="195" customFormat="false" ht="15" hidden="false" customHeight="false" outlineLevel="0" collapsed="false">
      <c r="A195" s="9" t="s">
        <v>292</v>
      </c>
      <c r="B195" s="10" t="n">
        <v>46181</v>
      </c>
      <c r="C195" s="9" t="s">
        <v>66</v>
      </c>
      <c r="D195" s="9" t="s">
        <v>44</v>
      </c>
      <c r="E195" s="9" t="s">
        <v>45</v>
      </c>
      <c r="F195" s="9" t="n">
        <v>1</v>
      </c>
      <c r="G195" s="9" t="n">
        <v>160</v>
      </c>
      <c r="H195" s="9" t="n">
        <v>64</v>
      </c>
      <c r="I195" s="9" t="s">
        <v>46</v>
      </c>
      <c r="J195" s="9" t="s">
        <v>51</v>
      </c>
    </row>
    <row r="196" customFormat="false" ht="15" hidden="false" customHeight="false" outlineLevel="0" collapsed="false">
      <c r="A196" s="9" t="s">
        <v>293</v>
      </c>
      <c r="B196" s="10" t="n">
        <v>46182</v>
      </c>
      <c r="C196" s="9" t="s">
        <v>43</v>
      </c>
      <c r="D196" s="9" t="s">
        <v>145</v>
      </c>
      <c r="E196" s="9" t="s">
        <v>55</v>
      </c>
      <c r="F196" s="9" t="n">
        <v>1</v>
      </c>
      <c r="G196" s="9" t="n">
        <v>170</v>
      </c>
      <c r="H196" s="9" t="n">
        <v>88</v>
      </c>
      <c r="I196" s="9" t="s">
        <v>50</v>
      </c>
      <c r="J196" s="9" t="s">
        <v>51</v>
      </c>
    </row>
    <row r="197" customFormat="false" ht="15" hidden="false" customHeight="false" outlineLevel="0" collapsed="false">
      <c r="A197" s="9" t="s">
        <v>294</v>
      </c>
      <c r="B197" s="10" t="n">
        <v>46249</v>
      </c>
      <c r="C197" s="9" t="s">
        <v>83</v>
      </c>
      <c r="D197" s="9" t="s">
        <v>80</v>
      </c>
      <c r="E197" s="9" t="s">
        <v>62</v>
      </c>
      <c r="F197" s="9" t="n">
        <v>1</v>
      </c>
      <c r="G197" s="9" t="n">
        <v>180</v>
      </c>
      <c r="H197" s="9" t="n">
        <v>80</v>
      </c>
      <c r="I197" s="9" t="s">
        <v>56</v>
      </c>
      <c r="J197" s="9" t="s">
        <v>51</v>
      </c>
    </row>
    <row r="198" customFormat="false" ht="15" hidden="false" customHeight="false" outlineLevel="0" collapsed="false">
      <c r="A198" s="9" t="s">
        <v>295</v>
      </c>
      <c r="B198" s="10" t="n">
        <v>46210</v>
      </c>
      <c r="C198" s="9" t="s">
        <v>43</v>
      </c>
      <c r="D198" s="9" t="s">
        <v>80</v>
      </c>
      <c r="E198" s="9" t="s">
        <v>62</v>
      </c>
      <c r="F198" s="9" t="n">
        <v>1</v>
      </c>
      <c r="G198" s="9" t="n">
        <v>180</v>
      </c>
      <c r="H198" s="9" t="n">
        <v>65</v>
      </c>
      <c r="I198" s="9" t="s">
        <v>46</v>
      </c>
      <c r="J198" s="9" t="s">
        <v>51</v>
      </c>
    </row>
    <row r="199" customFormat="false" ht="15" hidden="false" customHeight="false" outlineLevel="0" collapsed="false">
      <c r="A199" s="9" t="s">
        <v>296</v>
      </c>
      <c r="B199" s="10" t="n">
        <v>46257</v>
      </c>
      <c r="C199" s="9" t="s">
        <v>43</v>
      </c>
      <c r="D199" s="9" t="s">
        <v>80</v>
      </c>
      <c r="E199" s="9" t="s">
        <v>62</v>
      </c>
      <c r="F199" s="9" t="n">
        <v>1</v>
      </c>
      <c r="G199" s="9" t="n">
        <v>180</v>
      </c>
      <c r="H199" s="9" t="n">
        <v>73</v>
      </c>
      <c r="I199" s="9" t="s">
        <v>50</v>
      </c>
      <c r="J199" s="9" t="s">
        <v>51</v>
      </c>
    </row>
    <row r="200" customFormat="false" ht="15" hidden="false" customHeight="false" outlineLevel="0" collapsed="false">
      <c r="A200" s="9" t="s">
        <v>297</v>
      </c>
      <c r="B200" s="10" t="n">
        <v>46182</v>
      </c>
      <c r="C200" s="9" t="s">
        <v>43</v>
      </c>
      <c r="D200" s="9" t="s">
        <v>89</v>
      </c>
      <c r="E200" s="9" t="s">
        <v>78</v>
      </c>
      <c r="F200" s="9" t="n">
        <v>1</v>
      </c>
      <c r="G200" s="9" t="n">
        <v>240</v>
      </c>
      <c r="H200" s="9" t="n">
        <v>108</v>
      </c>
      <c r="I200" s="9" t="s">
        <v>50</v>
      </c>
      <c r="J200" s="9" t="s">
        <v>51</v>
      </c>
    </row>
    <row r="201" customFormat="false" ht="15" hidden="false" customHeight="false" outlineLevel="0" collapsed="false">
      <c r="A201" s="9" t="s">
        <v>298</v>
      </c>
      <c r="B201" s="10" t="n">
        <v>46184</v>
      </c>
      <c r="C201" s="9" t="s">
        <v>66</v>
      </c>
      <c r="D201" s="9" t="s">
        <v>99</v>
      </c>
      <c r="E201" s="9" t="s">
        <v>45</v>
      </c>
      <c r="F201" s="9"/>
      <c r="G201" s="9" t="n">
        <v>130</v>
      </c>
      <c r="H201" s="9" t="n">
        <v>62</v>
      </c>
      <c r="I201" s="9" t="s">
        <v>50</v>
      </c>
      <c r="J201" s="9" t="s">
        <v>51</v>
      </c>
    </row>
    <row r="202" customFormat="false" ht="15" hidden="false" customHeight="false" outlineLevel="0" collapsed="false">
      <c r="A202" s="9" t="s">
        <v>299</v>
      </c>
      <c r="B202" s="9" t="s">
        <v>300</v>
      </c>
      <c r="C202" s="9" t="s">
        <v>83</v>
      </c>
      <c r="D202" s="9" t="s">
        <v>54</v>
      </c>
      <c r="E202" s="9" t="s">
        <v>55</v>
      </c>
      <c r="F202" s="9" t="n">
        <v>2</v>
      </c>
      <c r="G202" s="9" t="n">
        <v>80</v>
      </c>
      <c r="H202" s="9" t="n">
        <v>75</v>
      </c>
      <c r="I202" s="9" t="s">
        <v>50</v>
      </c>
      <c r="J202" s="9" t="s">
        <v>51</v>
      </c>
    </row>
    <row r="203" customFormat="false" ht="15" hidden="false" customHeight="false" outlineLevel="0" collapsed="false">
      <c r="A203" s="9" t="s">
        <v>301</v>
      </c>
      <c r="B203" s="10" t="n">
        <v>46247</v>
      </c>
      <c r="C203" s="9" t="s">
        <v>60</v>
      </c>
      <c r="D203" s="9" t="s">
        <v>108</v>
      </c>
      <c r="E203" s="9" t="s">
        <v>78</v>
      </c>
      <c r="F203" s="9" t="n">
        <v>1</v>
      </c>
      <c r="G203" s="9" t="n">
        <v>220</v>
      </c>
      <c r="H203" s="9" t="n">
        <v>96</v>
      </c>
      <c r="I203" s="9" t="s">
        <v>50</v>
      </c>
      <c r="J203" s="9" t="s">
        <v>51</v>
      </c>
    </row>
    <row r="204" customFormat="false" ht="15" hidden="false" customHeight="false" outlineLevel="0" collapsed="false">
      <c r="A204" s="9" t="s">
        <v>302</v>
      </c>
      <c r="B204" s="10" t="n">
        <v>46200</v>
      </c>
      <c r="C204" s="9" t="s">
        <v>60</v>
      </c>
      <c r="D204" s="9" t="s">
        <v>54</v>
      </c>
      <c r="E204" s="9" t="s">
        <v>55</v>
      </c>
      <c r="F204" s="9" t="n">
        <v>2</v>
      </c>
      <c r="G204" s="9" t="n">
        <v>80</v>
      </c>
      <c r="H204" s="9" t="n">
        <v>71</v>
      </c>
      <c r="I204" s="9" t="s">
        <v>50</v>
      </c>
      <c r="J204" s="9" t="s">
        <v>51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0" min="9" style="0" width="8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6"/>
    <col collapsed="false" customWidth="true" hidden="false" outlineLevel="0" max="14" min="14" style="0" width="15"/>
    <col collapsed="false" customWidth="true" hidden="false" outlineLevel="0" max="15" min="15" style="0" width="12"/>
    <col collapsed="false" customWidth="true" hidden="false" outlineLevel="0" max="16" min="16" style="0" width="15"/>
    <col collapsed="false" customWidth="true" hidden="false" outlineLevel="0" max="19" min="19" style="0" width="24"/>
    <col collapsed="false" customWidth="true" hidden="false" outlineLevel="0" max="20" min="20" style="0" width="16"/>
  </cols>
  <sheetData>
    <row r="1" customFormat="false" ht="15" hidden="false" customHeight="false" outlineLevel="0" collapsed="false">
      <c r="A1" s="11" t="s">
        <v>303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customFormat="false" ht="15" hidden="false" customHeight="false" outlineLevel="0" collapsed="false">
      <c r="A2" s="7" t="s">
        <v>304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4" customFormat="false" ht="39.55" hidden="false" customHeight="false" outlineLevel="0" collapsed="false">
      <c r="A4" s="8" t="s">
        <v>305</v>
      </c>
      <c r="B4" s="8" t="s">
        <v>306</v>
      </c>
      <c r="C4" s="8" t="s">
        <v>34</v>
      </c>
      <c r="D4" s="8" t="s">
        <v>35</v>
      </c>
      <c r="E4" s="8" t="s">
        <v>36</v>
      </c>
      <c r="F4" s="8" t="s">
        <v>37</v>
      </c>
      <c r="G4" s="8" t="s">
        <v>307</v>
      </c>
      <c r="H4" s="8" t="s">
        <v>308</v>
      </c>
      <c r="I4" s="8" t="s">
        <v>39</v>
      </c>
      <c r="J4" s="8" t="s">
        <v>309</v>
      </c>
      <c r="K4" s="8" t="s">
        <v>310</v>
      </c>
      <c r="L4" s="8" t="s">
        <v>311</v>
      </c>
      <c r="M4" s="8" t="s">
        <v>312</v>
      </c>
      <c r="N4" s="8" t="s">
        <v>313</v>
      </c>
      <c r="O4" s="8" t="s">
        <v>314</v>
      </c>
      <c r="P4" s="8" t="s">
        <v>315</v>
      </c>
      <c r="S4" s="12" t="s">
        <v>316</v>
      </c>
    </row>
    <row r="5" customFormat="false" ht="15" hidden="false" customHeight="false" outlineLevel="0" collapsed="false">
      <c r="A5" s="9" t="str">
        <f aca="false">Raw_Data!A5</f>
        <v>ORD1145</v>
      </c>
      <c r="B5" s="10" t="n">
        <f aca="false">IF(ISNUMBER(Raw_Data!B5),Raw_Data!B5,DATE(VALUE(RIGHT(Raw_Data!B5,4)),VALUE(MID(Raw_Data!B5,4,2)),VALUE(LEFT(Raw_Data!B5,2))))</f>
        <v>46214</v>
      </c>
      <c r="C5" s="9" t="str">
        <f aca="false">IFERROR(INDEX($T$10:$T$11,MATCH(PROPER(TRIM(Raw_Data!C5)),$S$10:$S$11,0)),PROPER(TRIM(Raw_Data!C5)))</f>
        <v>Koramangala</v>
      </c>
      <c r="D5" s="9" t="str">
        <f aca="false">PROPER(TRIM(Raw_Data!D5))</f>
        <v>Danish Pastry</v>
      </c>
      <c r="E5" s="9" t="str">
        <f aca="false">IFERROR(INDEX($T$6:$T$7,MATCH(PROPER(TRIM(Raw_Data!E5)),$S$6:$S$7,0)),PROPER(TRIM(Raw_Data!E5)))</f>
        <v>Bakery</v>
      </c>
      <c r="F5" s="9" t="n">
        <f aca="false">IF(TRIM(Raw_Data!F5&amp;"")="",1,VALUE(Raw_Data!F5))</f>
        <v>1</v>
      </c>
      <c r="G5" s="13" t="n">
        <f aca="false">VALUE(Raw_Data!G5)</f>
        <v>160</v>
      </c>
      <c r="H5" s="13" t="n">
        <f aca="false">F5*G5</f>
        <v>160</v>
      </c>
      <c r="I5" s="13" t="n">
        <f aca="false">VALUE(Raw_Data!H5)</f>
        <v>78</v>
      </c>
      <c r="J5" s="13" t="n">
        <f aca="false">H5-I5</f>
        <v>82</v>
      </c>
      <c r="K5" s="14" t="n">
        <f aca="false">IFERROR(J5/H5,0)</f>
        <v>0.5125</v>
      </c>
      <c r="L5" s="9" t="str">
        <f aca="false">TEXT(B5,"MMM-YYYY")</f>
        <v>Jul-2026</v>
      </c>
      <c r="M5" s="9" t="n">
        <f aca="false">YEAR(B5)</f>
        <v>2026</v>
      </c>
      <c r="N5" s="9" t="str">
        <f aca="false">IF(TRIM(Raw_Data!I5&amp;"")="","Not Specified",TRIM(Raw_Data!I5))</f>
        <v>Cash</v>
      </c>
      <c r="O5" s="9" t="str">
        <f aca="false">PROPER(TRIM(Raw_Data!J5))</f>
        <v>Cancelled</v>
      </c>
      <c r="P5" s="9" t="str">
        <f aca="false">IF(O5="Completed","Completed","Not Completed")</f>
        <v>Not Completed</v>
      </c>
      <c r="S5" s="15" t="s">
        <v>317</v>
      </c>
      <c r="T5" s="15" t="s">
        <v>318</v>
      </c>
    </row>
    <row r="6" customFormat="false" ht="15" hidden="false" customHeight="false" outlineLevel="0" collapsed="false">
      <c r="A6" s="9" t="str">
        <f aca="false">Raw_Data!A6</f>
        <v>ORD1010</v>
      </c>
      <c r="B6" s="10" t="n">
        <f aca="false">IF(ISNUMBER(Raw_Data!B6),Raw_Data!B6,DATE(VALUE(RIGHT(Raw_Data!B6,4)),VALUE(MID(Raw_Data!B6,4,2)),VALUE(LEFT(Raw_Data!B6,2))))</f>
        <v>46179</v>
      </c>
      <c r="C6" s="9" t="str">
        <f aca="false">IFERROR(INDEX($T$10:$T$11,MATCH(PROPER(TRIM(Raw_Data!C6)),$S$10:$S$11,0)),PROPER(TRIM(Raw_Data!C6)))</f>
        <v>Koramangala</v>
      </c>
      <c r="D6" s="9" t="str">
        <f aca="false">PROPER(TRIM(Raw_Data!D6))</f>
        <v>Muffin</v>
      </c>
      <c r="E6" s="9" t="str">
        <f aca="false">IFERROR(INDEX($T$6:$T$7,MATCH(PROPER(TRIM(Raw_Data!E6)),$S$6:$S$7,0)),PROPER(TRIM(Raw_Data!E6)))</f>
        <v>Bakery</v>
      </c>
      <c r="F6" s="9" t="n">
        <f aca="false">IF(TRIM(Raw_Data!F6&amp;"")="",1,VALUE(Raw_Data!F6))</f>
        <v>1</v>
      </c>
      <c r="G6" s="13" t="n">
        <f aca="false">VALUE(Raw_Data!G6)</f>
        <v>130</v>
      </c>
      <c r="H6" s="13" t="n">
        <f aca="false">F6*G6</f>
        <v>130</v>
      </c>
      <c r="I6" s="13" t="n">
        <f aca="false">VALUE(Raw_Data!H6)</f>
        <v>57</v>
      </c>
      <c r="J6" s="13" t="n">
        <f aca="false">H6-I6</f>
        <v>73</v>
      </c>
      <c r="K6" s="14" t="n">
        <f aca="false">IFERROR(J6/H6,0)</f>
        <v>0.561538461538462</v>
      </c>
      <c r="L6" s="9" t="str">
        <f aca="false">TEXT(B6,"MMM-YYYY")</f>
        <v>Jun-2026</v>
      </c>
      <c r="M6" s="9" t="n">
        <f aca="false">YEAR(B6)</f>
        <v>2026</v>
      </c>
      <c r="N6" s="9" t="str">
        <f aca="false">IF(TRIM(Raw_Data!I6&amp;"")="","Not Specified",TRIM(Raw_Data!I6))</f>
        <v>UPI</v>
      </c>
      <c r="O6" s="9" t="str">
        <f aca="false">PROPER(TRIM(Raw_Data!J6))</f>
        <v>Completed</v>
      </c>
      <c r="P6" s="9" t="str">
        <f aca="false">IF(O6="Completed","Completed","Not Completed")</f>
        <v>Completed</v>
      </c>
      <c r="S6" s="16" t="s">
        <v>101</v>
      </c>
      <c r="T6" s="16" t="s">
        <v>62</v>
      </c>
    </row>
    <row r="7" customFormat="false" ht="15" hidden="false" customHeight="false" outlineLevel="0" collapsed="false">
      <c r="A7" s="9" t="str">
        <f aca="false">Raw_Data!A7</f>
        <v>ORD1018</v>
      </c>
      <c r="B7" s="10" t="n">
        <f aca="false">IF(ISNUMBER(Raw_Data!B7),Raw_Data!B7,DATE(VALUE(RIGHT(Raw_Data!B7,4)),VALUE(MID(Raw_Data!B7,4,2)),VALUE(LEFT(Raw_Data!B7,2))))</f>
        <v>46190</v>
      </c>
      <c r="C7" s="9" t="str">
        <f aca="false">IFERROR(INDEX($T$10:$T$11,MATCH(PROPER(TRIM(Raw_Data!C7)),$S$10:$S$11,0)),PROPER(TRIM(Raw_Data!C7)))</f>
        <v>Koramangala</v>
      </c>
      <c r="D7" s="9" t="str">
        <f aca="false">PROPER(TRIM(Raw_Data!D7))</f>
        <v>Veg Puff</v>
      </c>
      <c r="E7" s="9" t="str">
        <f aca="false">IFERROR(INDEX($T$6:$T$7,MATCH(PROPER(TRIM(Raw_Data!E7)),$S$6:$S$7,0)),PROPER(TRIM(Raw_Data!E7)))</f>
        <v>Snacks</v>
      </c>
      <c r="F7" s="9" t="n">
        <f aca="false">IF(TRIM(Raw_Data!F7&amp;"")="",1,VALUE(Raw_Data!F7))</f>
        <v>3</v>
      </c>
      <c r="G7" s="13" t="n">
        <f aca="false">VALUE(Raw_Data!G7)</f>
        <v>80</v>
      </c>
      <c r="H7" s="13" t="n">
        <f aca="false">F7*G7</f>
        <v>240</v>
      </c>
      <c r="I7" s="13" t="n">
        <f aca="false">VALUE(Raw_Data!H7)</f>
        <v>125</v>
      </c>
      <c r="J7" s="13" t="n">
        <f aca="false">H7-I7</f>
        <v>115</v>
      </c>
      <c r="K7" s="14" t="n">
        <f aca="false">IFERROR(J7/H7,0)</f>
        <v>0.479166666666667</v>
      </c>
      <c r="L7" s="9" t="str">
        <f aca="false">TEXT(B7,"MMM-YYYY")</f>
        <v>Jun-2026</v>
      </c>
      <c r="M7" s="9" t="n">
        <f aca="false">YEAR(B7)</f>
        <v>2026</v>
      </c>
      <c r="N7" s="9" t="str">
        <f aca="false">IF(TRIM(Raw_Data!I7&amp;"")="","Not Specified",TRIM(Raw_Data!I7))</f>
        <v>Card</v>
      </c>
      <c r="O7" s="9" t="str">
        <f aca="false">PROPER(TRIM(Raw_Data!J7))</f>
        <v>Completed</v>
      </c>
      <c r="P7" s="9" t="str">
        <f aca="false">IF(O7="Completed","Completed","Not Completed")</f>
        <v>Completed</v>
      </c>
      <c r="S7" s="16" t="s">
        <v>319</v>
      </c>
      <c r="T7" s="16" t="s">
        <v>78</v>
      </c>
    </row>
    <row r="8" customFormat="false" ht="15" hidden="false" customHeight="false" outlineLevel="0" collapsed="false">
      <c r="A8" s="9" t="str">
        <f aca="false">Raw_Data!A8</f>
        <v>ORD1021</v>
      </c>
      <c r="B8" s="10" t="n">
        <f aca="false">IF(ISNUMBER(Raw_Data!B8),Raw_Data!B8,DATE(VALUE(RIGHT(Raw_Data!B8,4)),VALUE(MID(Raw_Data!B8,4,2)),VALUE(LEFT(Raw_Data!B8,2))))</f>
        <v>46242</v>
      </c>
      <c r="C8" s="9" t="str">
        <f aca="false">IFERROR(INDEX($T$10:$T$11,MATCH(PROPER(TRIM(Raw_Data!C8)),$S$10:$S$11,0)),PROPER(TRIM(Raw_Data!C8)))</f>
        <v>Koramangala</v>
      </c>
      <c r="D8" s="9" t="str">
        <f aca="false">PROPER(TRIM(Raw_Data!D8))</f>
        <v>Brownie</v>
      </c>
      <c r="E8" s="9" t="str">
        <f aca="false">IFERROR(INDEX($T$6:$T$7,MATCH(PROPER(TRIM(Raw_Data!E8)),$S$6:$S$7,0)),PROPER(TRIM(Raw_Data!E8)))</f>
        <v>Bakery</v>
      </c>
      <c r="F8" s="9" t="n">
        <f aca="false">IF(TRIM(Raw_Data!F8&amp;"")="",1,VALUE(Raw_Data!F8))</f>
        <v>2</v>
      </c>
      <c r="G8" s="13" t="n">
        <f aca="false">VALUE(Raw_Data!G8)</f>
        <v>150</v>
      </c>
      <c r="H8" s="13" t="n">
        <f aca="false">F8*G8</f>
        <v>300</v>
      </c>
      <c r="I8" s="13" t="n">
        <f aca="false">VALUE(Raw_Data!H8)</f>
        <v>123</v>
      </c>
      <c r="J8" s="13" t="n">
        <f aca="false">H8-I8</f>
        <v>177</v>
      </c>
      <c r="K8" s="14" t="n">
        <f aca="false">IFERROR(J8/H8,0)</f>
        <v>0.59</v>
      </c>
      <c r="L8" s="9" t="str">
        <f aca="false">TEXT(B8,"MMM-YYYY")</f>
        <v>Aug-2026</v>
      </c>
      <c r="M8" s="9" t="n">
        <f aca="false">YEAR(B8)</f>
        <v>2026</v>
      </c>
      <c r="N8" s="9" t="str">
        <f aca="false">IF(TRIM(Raw_Data!I8&amp;"")="","Not Specified",TRIM(Raw_Data!I8))</f>
        <v>UPI</v>
      </c>
      <c r="O8" s="9" t="str">
        <f aca="false">PROPER(TRIM(Raw_Data!J8))</f>
        <v>Completed</v>
      </c>
      <c r="P8" s="9" t="str">
        <f aca="false">IF(O8="Completed","Completed","Not Completed")</f>
        <v>Completed</v>
      </c>
    </row>
    <row r="9" customFormat="false" ht="15" hidden="false" customHeight="false" outlineLevel="0" collapsed="false">
      <c r="A9" s="9" t="str">
        <f aca="false">Raw_Data!A9</f>
        <v>ORD1046</v>
      </c>
      <c r="B9" s="10" t="n">
        <f aca="false">IF(ISNUMBER(Raw_Data!B9),Raw_Data!B9,DATE(VALUE(RIGHT(Raw_Data!B9,4)),VALUE(MID(Raw_Data!B9,4,2)),VALUE(LEFT(Raw_Data!B9,2))))</f>
        <v>46193</v>
      </c>
      <c r="C9" s="9" t="str">
        <f aca="false">IFERROR(INDEX($T$10:$T$11,MATCH(PROPER(TRIM(Raw_Data!C9)),$S$10:$S$11,0)),PROPER(TRIM(Raw_Data!C9)))</f>
        <v>Whitefield</v>
      </c>
      <c r="D9" s="9" t="str">
        <f aca="false">PROPER(TRIM(Raw_Data!D9))</f>
        <v>Hot Chocolate</v>
      </c>
      <c r="E9" s="9" t="str">
        <f aca="false">IFERROR(INDEX($T$6:$T$7,MATCH(PROPER(TRIM(Raw_Data!E9)),$S$6:$S$7,0)),PROPER(TRIM(Raw_Data!E9)))</f>
        <v>Hot Beverages</v>
      </c>
      <c r="F9" s="9" t="n">
        <f aca="false">IF(TRIM(Raw_Data!F9&amp;"")="",1,VALUE(Raw_Data!F9))</f>
        <v>1</v>
      </c>
      <c r="G9" s="13" t="n">
        <f aca="false">VALUE(Raw_Data!G9)</f>
        <v>170</v>
      </c>
      <c r="H9" s="13" t="n">
        <f aca="false">F9*G9</f>
        <v>170</v>
      </c>
      <c r="I9" s="13" t="n">
        <f aca="false">VALUE(Raw_Data!H9)</f>
        <v>62</v>
      </c>
      <c r="J9" s="13" t="n">
        <f aca="false">H9-I9</f>
        <v>108</v>
      </c>
      <c r="K9" s="14" t="n">
        <f aca="false">IFERROR(J9/H9,0)</f>
        <v>0.635294117647059</v>
      </c>
      <c r="L9" s="9" t="str">
        <f aca="false">TEXT(B9,"MMM-YYYY")</f>
        <v>Jun-2026</v>
      </c>
      <c r="M9" s="9" t="n">
        <f aca="false">YEAR(B9)</f>
        <v>2026</v>
      </c>
      <c r="N9" s="9" t="str">
        <f aca="false">IF(TRIM(Raw_Data!I9&amp;"")="","Not Specified",TRIM(Raw_Data!I9))</f>
        <v>UPI</v>
      </c>
      <c r="O9" s="9" t="str">
        <f aca="false">PROPER(TRIM(Raw_Data!J9))</f>
        <v>Completed</v>
      </c>
      <c r="P9" s="9" t="str">
        <f aca="false">IF(O9="Completed","Completed","Not Completed")</f>
        <v>Completed</v>
      </c>
      <c r="S9" s="15" t="s">
        <v>320</v>
      </c>
      <c r="T9" s="15" t="s">
        <v>318</v>
      </c>
    </row>
    <row r="10" customFormat="false" ht="15" hidden="false" customHeight="false" outlineLevel="0" collapsed="false">
      <c r="A10" s="9" t="str">
        <f aca="false">Raw_Data!A10</f>
        <v>ORD1007</v>
      </c>
      <c r="B10" s="10" t="n">
        <f aca="false">IF(ISNUMBER(Raw_Data!B10),Raw_Data!B10,DATE(VALUE(RIGHT(Raw_Data!B10,4)),VALUE(MID(Raw_Data!B10,4,2)),VALUE(LEFT(Raw_Data!B10,2))))</f>
        <v>46233</v>
      </c>
      <c r="C10" s="9" t="str">
        <f aca="false">IFERROR(INDEX($T$10:$T$11,MATCH(PROPER(TRIM(Raw_Data!C10)),$S$10:$S$11,0)),PROPER(TRIM(Raw_Data!C10)))</f>
        <v>HSR Layout</v>
      </c>
      <c r="D10" s="9" t="str">
        <f aca="false">PROPER(TRIM(Raw_Data!D10))</f>
        <v>Brownie</v>
      </c>
      <c r="E10" s="9" t="str">
        <f aca="false">IFERROR(INDEX($T$6:$T$7,MATCH(PROPER(TRIM(Raw_Data!E10)),$S$6:$S$7,0)),PROPER(TRIM(Raw_Data!E10)))</f>
        <v>Bakery</v>
      </c>
      <c r="F10" s="9" t="n">
        <f aca="false">IF(TRIM(Raw_Data!F10&amp;"")="",1,VALUE(Raw_Data!F10))</f>
        <v>1</v>
      </c>
      <c r="G10" s="13" t="n">
        <f aca="false">VALUE(Raw_Data!G10)</f>
        <v>150</v>
      </c>
      <c r="H10" s="13" t="n">
        <f aca="false">F10*G10</f>
        <v>150</v>
      </c>
      <c r="I10" s="13" t="n">
        <f aca="false">VALUE(Raw_Data!H10)</f>
        <v>74</v>
      </c>
      <c r="J10" s="13" t="n">
        <f aca="false">H10-I10</f>
        <v>76</v>
      </c>
      <c r="K10" s="14" t="n">
        <f aca="false">IFERROR(J10/H10,0)</f>
        <v>0.506666666666667</v>
      </c>
      <c r="L10" s="9" t="str">
        <f aca="false">TEXT(B10,"MMM-YYYY")</f>
        <v>Jul-2026</v>
      </c>
      <c r="M10" s="9" t="n">
        <f aca="false">YEAR(B10)</f>
        <v>2026</v>
      </c>
      <c r="N10" s="9" t="str">
        <f aca="false">IF(TRIM(Raw_Data!I10&amp;"")="","Not Specified",TRIM(Raw_Data!I10))</f>
        <v>Cash</v>
      </c>
      <c r="O10" s="9" t="str">
        <f aca="false">PROPER(TRIM(Raw_Data!J10))</f>
        <v>Completed</v>
      </c>
      <c r="P10" s="9" t="str">
        <f aca="false">IF(O10="Completed","Completed","Not Completed")</f>
        <v>Completed</v>
      </c>
      <c r="S10" s="16" t="s">
        <v>321</v>
      </c>
      <c r="T10" s="16" t="s">
        <v>83</v>
      </c>
    </row>
    <row r="11" customFormat="false" ht="15" hidden="false" customHeight="false" outlineLevel="0" collapsed="false">
      <c r="A11" s="9" t="str">
        <f aca="false">Raw_Data!A11</f>
        <v>ORD1053</v>
      </c>
      <c r="B11" s="10" t="n">
        <f aca="false">IF(ISNUMBER(Raw_Data!B11),Raw_Data!B11,DATE(VALUE(RIGHT(Raw_Data!B11,4)),VALUE(MID(Raw_Data!B11,4,2)),VALUE(LEFT(Raw_Data!B11,2))))</f>
        <v>46262</v>
      </c>
      <c r="C11" s="9" t="str">
        <f aca="false">IFERROR(INDEX($T$10:$T$11,MATCH(PROPER(TRIM(Raw_Data!C11)),$S$10:$S$11,0)),PROPER(TRIM(Raw_Data!C11)))</f>
        <v>Indiranagar</v>
      </c>
      <c r="D11" s="9" t="str">
        <f aca="false">PROPER(TRIM(Raw_Data!D11))</f>
        <v>Sandwich</v>
      </c>
      <c r="E11" s="9" t="str">
        <f aca="false">IFERROR(INDEX($T$6:$T$7,MATCH(PROPER(TRIM(Raw_Data!E11)),$S$6:$S$7,0)),PROPER(TRIM(Raw_Data!E11)))</f>
        <v>Snacks</v>
      </c>
      <c r="F11" s="9" t="n">
        <f aca="false">IF(TRIM(Raw_Data!F11&amp;"")="",1,VALUE(Raw_Data!F11))</f>
        <v>3</v>
      </c>
      <c r="G11" s="13" t="n">
        <f aca="false">VALUE(Raw_Data!G11)</f>
        <v>190</v>
      </c>
      <c r="H11" s="13" t="n">
        <f aca="false">F11*G11</f>
        <v>570</v>
      </c>
      <c r="I11" s="13" t="n">
        <f aca="false">VALUE(Raw_Data!H11)</f>
        <v>259</v>
      </c>
      <c r="J11" s="13" t="n">
        <f aca="false">H11-I11</f>
        <v>311</v>
      </c>
      <c r="K11" s="14" t="n">
        <f aca="false">IFERROR(J11/H11,0)</f>
        <v>0.545614035087719</v>
      </c>
      <c r="L11" s="9" t="str">
        <f aca="false">TEXT(B11,"MMM-YYYY")</f>
        <v>Aug-2026</v>
      </c>
      <c r="M11" s="9" t="n">
        <f aca="false">YEAR(B11)</f>
        <v>2026</v>
      </c>
      <c r="N11" s="9" t="str">
        <f aca="false">IF(TRIM(Raw_Data!I11&amp;"")="","Not Specified",TRIM(Raw_Data!I11))</f>
        <v>UPI</v>
      </c>
      <c r="O11" s="9" t="str">
        <f aca="false">PROPER(TRIM(Raw_Data!J11))</f>
        <v>Completed</v>
      </c>
      <c r="P11" s="9" t="str">
        <f aca="false">IF(O11="Completed","Completed","Not Completed")</f>
        <v>Completed</v>
      </c>
      <c r="S11" s="16" t="s">
        <v>322</v>
      </c>
      <c r="T11" s="16" t="s">
        <v>83</v>
      </c>
    </row>
    <row r="12" customFormat="false" ht="15" hidden="false" customHeight="false" outlineLevel="0" collapsed="false">
      <c r="A12" s="9" t="str">
        <f aca="false">Raw_Data!A12</f>
        <v>ORD1092</v>
      </c>
      <c r="B12" s="10" t="n">
        <f aca="false">IF(ISNUMBER(Raw_Data!B12),Raw_Data!B12,DATE(VALUE(RIGHT(Raw_Data!B12,4)),VALUE(MID(Raw_Data!B12,4,2)),VALUE(LEFT(Raw_Data!B12,2))))</f>
        <v>46204</v>
      </c>
      <c r="C12" s="9" t="str">
        <f aca="false">IFERROR(INDEX($T$10:$T$11,MATCH(PROPER(TRIM(Raw_Data!C12)),$S$10:$S$11,0)),PROPER(TRIM(Raw_Data!C12)))</f>
        <v>Whitefield</v>
      </c>
      <c r="D12" s="9" t="str">
        <f aca="false">PROPER(TRIM(Raw_Data!D12))</f>
        <v>Garlic Bread</v>
      </c>
      <c r="E12" s="9" t="str">
        <f aca="false">IFERROR(INDEX($T$6:$T$7,MATCH(PROPER(TRIM(Raw_Data!E12)),$S$6:$S$7,0)),PROPER(TRIM(Raw_Data!E12)))</f>
        <v>Snacks</v>
      </c>
      <c r="F12" s="9" t="n">
        <f aca="false">IF(TRIM(Raw_Data!F12&amp;"")="",1,VALUE(Raw_Data!F12))</f>
        <v>2</v>
      </c>
      <c r="G12" s="13" t="n">
        <f aca="false">VALUE(Raw_Data!G12)</f>
        <v>150</v>
      </c>
      <c r="H12" s="13" t="n">
        <f aca="false">F12*G12</f>
        <v>300</v>
      </c>
      <c r="I12" s="13" t="n">
        <f aca="false">VALUE(Raw_Data!H12)</f>
        <v>141</v>
      </c>
      <c r="J12" s="13" t="n">
        <f aca="false">H12-I12</f>
        <v>159</v>
      </c>
      <c r="K12" s="14" t="n">
        <f aca="false">IFERROR(J12/H12,0)</f>
        <v>0.53</v>
      </c>
      <c r="L12" s="9" t="str">
        <f aca="false">TEXT(B12,"MMM-YYYY")</f>
        <v>Jul-2026</v>
      </c>
      <c r="M12" s="9" t="n">
        <f aca="false">YEAR(B12)</f>
        <v>2026</v>
      </c>
      <c r="N12" s="9" t="str">
        <f aca="false">IF(TRIM(Raw_Data!I12&amp;"")="","Not Specified",TRIM(Raw_Data!I12))</f>
        <v>UPI</v>
      </c>
      <c r="O12" s="9" t="str">
        <f aca="false">PROPER(TRIM(Raw_Data!J12))</f>
        <v>Completed</v>
      </c>
      <c r="P12" s="9" t="str">
        <f aca="false">IF(O12="Completed","Completed","Not Completed")</f>
        <v>Completed</v>
      </c>
    </row>
    <row r="13" customFormat="false" ht="15" hidden="false" customHeight="false" outlineLevel="0" collapsed="false">
      <c r="A13" s="9" t="str">
        <f aca="false">Raw_Data!A13</f>
        <v>ORD1130</v>
      </c>
      <c r="B13" s="10" t="n">
        <f aca="false">IF(ISNUMBER(Raw_Data!B13),Raw_Data!B13,DATE(VALUE(RIGHT(Raw_Data!B13,4)),VALUE(MID(Raw_Data!B13,4,2)),VALUE(LEFT(Raw_Data!B13,2))))</f>
        <v>46198</v>
      </c>
      <c r="C13" s="9" t="str">
        <f aca="false">IFERROR(INDEX($T$10:$T$11,MATCH(PROPER(TRIM(Raw_Data!C13)),$S$10:$S$11,0)),PROPER(TRIM(Raw_Data!C13)))</f>
        <v>Whitefield</v>
      </c>
      <c r="D13" s="9" t="str">
        <f aca="false">PROPER(TRIM(Raw_Data!D13))</f>
        <v>Espresso</v>
      </c>
      <c r="E13" s="9" t="str">
        <f aca="false">IFERROR(INDEX($T$6:$T$7,MATCH(PROPER(TRIM(Raw_Data!E13)),$S$6:$S$7,0)),PROPER(TRIM(Raw_Data!E13)))</f>
        <v>Hot Beverages</v>
      </c>
      <c r="F13" s="9" t="n">
        <f aca="false">IF(TRIM(Raw_Data!F13&amp;"")="",1,VALUE(Raw_Data!F13))</f>
        <v>1</v>
      </c>
      <c r="G13" s="13" t="n">
        <f aca="false">VALUE(Raw_Data!G13)</f>
        <v>150</v>
      </c>
      <c r="H13" s="13" t="n">
        <f aca="false">F13*G13</f>
        <v>150</v>
      </c>
      <c r="I13" s="13" t="n">
        <f aca="false">VALUE(Raw_Data!H13)</f>
        <v>67</v>
      </c>
      <c r="J13" s="13" t="n">
        <f aca="false">H13-I13</f>
        <v>83</v>
      </c>
      <c r="K13" s="14" t="n">
        <f aca="false">IFERROR(J13/H13,0)</f>
        <v>0.553333333333333</v>
      </c>
      <c r="L13" s="9" t="str">
        <f aca="false">TEXT(B13,"MMM-YYYY")</f>
        <v>Jun-2026</v>
      </c>
      <c r="M13" s="9" t="n">
        <f aca="false">YEAR(B13)</f>
        <v>2026</v>
      </c>
      <c r="N13" s="9" t="str">
        <f aca="false">IF(TRIM(Raw_Data!I13&amp;"")="","Not Specified",TRIM(Raw_Data!I13))</f>
        <v>UPI</v>
      </c>
      <c r="O13" s="9" t="str">
        <f aca="false">PROPER(TRIM(Raw_Data!J13))</f>
        <v>Completed</v>
      </c>
      <c r="P13" s="9" t="str">
        <f aca="false">IF(O13="Completed","Completed","Not Completed")</f>
        <v>Completed</v>
      </c>
    </row>
    <row r="14" customFormat="false" ht="15" hidden="false" customHeight="false" outlineLevel="0" collapsed="false">
      <c r="A14" s="9" t="str">
        <f aca="false">Raw_Data!A14</f>
        <v>ORD1184</v>
      </c>
      <c r="B14" s="10" t="n">
        <f aca="false">IF(ISNUMBER(Raw_Data!B14),Raw_Data!B14,DATE(VALUE(RIGHT(Raw_Data!B14,4)),VALUE(MID(Raw_Data!B14,4,2)),VALUE(LEFT(Raw_Data!B14,2))))</f>
        <v>46255</v>
      </c>
      <c r="C14" s="9" t="str">
        <f aca="false">IFERROR(INDEX($T$10:$T$11,MATCH(PROPER(TRIM(Raw_Data!C14)),$S$10:$S$11,0)),PROPER(TRIM(Raw_Data!C14)))</f>
        <v>Koramangala</v>
      </c>
      <c r="D14" s="9" t="str">
        <f aca="false">PROPER(TRIM(Raw_Data!D14))</f>
        <v>Croissant</v>
      </c>
      <c r="E14" s="9" t="str">
        <f aca="false">IFERROR(INDEX($T$6:$T$7,MATCH(PROPER(TRIM(Raw_Data!E14)),$S$6:$S$7,0)),PROPER(TRIM(Raw_Data!E14)))</f>
        <v>Bakery</v>
      </c>
      <c r="F14" s="9" t="n">
        <f aca="false">IF(TRIM(Raw_Data!F14&amp;"")="",1,VALUE(Raw_Data!F14))</f>
        <v>2</v>
      </c>
      <c r="G14" s="13" t="n">
        <f aca="false">VALUE(Raw_Data!G14)</f>
        <v>140</v>
      </c>
      <c r="H14" s="13" t="n">
        <f aca="false">F14*G14</f>
        <v>280</v>
      </c>
      <c r="I14" s="13" t="n">
        <f aca="false">VALUE(Raw_Data!H14)</f>
        <v>116</v>
      </c>
      <c r="J14" s="13" t="n">
        <f aca="false">H14-I14</f>
        <v>164</v>
      </c>
      <c r="K14" s="14" t="n">
        <f aca="false">IFERROR(J14/H14,0)</f>
        <v>0.585714285714286</v>
      </c>
      <c r="L14" s="9" t="str">
        <f aca="false">TEXT(B14,"MMM-YYYY")</f>
        <v>Aug-2026</v>
      </c>
      <c r="M14" s="9" t="n">
        <f aca="false">YEAR(B14)</f>
        <v>2026</v>
      </c>
      <c r="N14" s="9" t="str">
        <f aca="false">IF(TRIM(Raw_Data!I14&amp;"")="","Not Specified",TRIM(Raw_Data!I14))</f>
        <v>Not Specified</v>
      </c>
      <c r="O14" s="9" t="str">
        <f aca="false">PROPER(TRIM(Raw_Data!J14))</f>
        <v>Completed</v>
      </c>
      <c r="P14" s="9" t="str">
        <f aca="false">IF(O14="Completed","Completed","Not Completed")</f>
        <v>Completed</v>
      </c>
    </row>
    <row r="15" customFormat="false" ht="15" hidden="false" customHeight="false" outlineLevel="0" collapsed="false">
      <c r="A15" s="9" t="str">
        <f aca="false">Raw_Data!A15</f>
        <v>ORD1022</v>
      </c>
      <c r="B15" s="10" t="n">
        <f aca="false">IF(ISNUMBER(Raw_Data!B15),Raw_Data!B15,DATE(VALUE(RIGHT(Raw_Data!B15,4)),VALUE(MID(Raw_Data!B15,4,2)),VALUE(LEFT(Raw_Data!B15,2))))</f>
        <v>46255</v>
      </c>
      <c r="C15" s="9" t="str">
        <f aca="false">IFERROR(INDEX($T$10:$T$11,MATCH(PROPER(TRIM(Raw_Data!C15)),$S$10:$S$11,0)),PROPER(TRIM(Raw_Data!C15)))</f>
        <v>Whitefield</v>
      </c>
      <c r="D15" s="9" t="str">
        <f aca="false">PROPER(TRIM(Raw_Data!D15))</f>
        <v>Brownie</v>
      </c>
      <c r="E15" s="9" t="str">
        <f aca="false">IFERROR(INDEX($T$6:$T$7,MATCH(PROPER(TRIM(Raw_Data!E15)),$S$6:$S$7,0)),PROPER(TRIM(Raw_Data!E15)))</f>
        <v>Bakery</v>
      </c>
      <c r="F15" s="9" t="n">
        <f aca="false">IF(TRIM(Raw_Data!F15&amp;"")="",1,VALUE(Raw_Data!F15))</f>
        <v>2</v>
      </c>
      <c r="G15" s="13" t="n">
        <f aca="false">VALUE(Raw_Data!G15)</f>
        <v>150</v>
      </c>
      <c r="H15" s="13" t="n">
        <f aca="false">F15*G15</f>
        <v>300</v>
      </c>
      <c r="I15" s="13" t="n">
        <f aca="false">VALUE(Raw_Data!H15)</f>
        <v>137</v>
      </c>
      <c r="J15" s="13" t="n">
        <f aca="false">H15-I15</f>
        <v>163</v>
      </c>
      <c r="K15" s="14" t="n">
        <f aca="false">IFERROR(J15/H15,0)</f>
        <v>0.543333333333333</v>
      </c>
      <c r="L15" s="9" t="str">
        <f aca="false">TEXT(B15,"MMM-YYYY")</f>
        <v>Aug-2026</v>
      </c>
      <c r="M15" s="9" t="n">
        <f aca="false">YEAR(B15)</f>
        <v>2026</v>
      </c>
      <c r="N15" s="9" t="str">
        <f aca="false">IF(TRIM(Raw_Data!I15&amp;"")="","Not Specified",TRIM(Raw_Data!I15))</f>
        <v>UPI</v>
      </c>
      <c r="O15" s="9" t="str">
        <f aca="false">PROPER(TRIM(Raw_Data!J15))</f>
        <v>Completed</v>
      </c>
      <c r="P15" s="9" t="str">
        <f aca="false">IF(O15="Completed","Completed","Not Completed")</f>
        <v>Completed</v>
      </c>
    </row>
    <row r="16" customFormat="false" ht="15" hidden="false" customHeight="false" outlineLevel="0" collapsed="false">
      <c r="A16" s="9" t="str">
        <f aca="false">Raw_Data!A16</f>
        <v>ORD1043</v>
      </c>
      <c r="B16" s="10" t="n">
        <f aca="false">IF(ISNUMBER(Raw_Data!B16),Raw_Data!B16,DATE(VALUE(RIGHT(Raw_Data!B16,4)),VALUE(MID(Raw_Data!B16,4,2)),VALUE(LEFT(Raw_Data!B16,2))))</f>
        <v>46238</v>
      </c>
      <c r="C16" s="9" t="str">
        <f aca="false">IFERROR(INDEX($T$10:$T$11,MATCH(PROPER(TRIM(Raw_Data!C16)),$S$10:$S$11,0)),PROPER(TRIM(Raw_Data!C16)))</f>
        <v>Indiranagar</v>
      </c>
      <c r="D16" s="9" t="str">
        <f aca="false">PROPER(TRIM(Raw_Data!D16))</f>
        <v>Iced Tea</v>
      </c>
      <c r="E16" s="9" t="str">
        <f aca="false">IFERROR(INDEX($T$6:$T$7,MATCH(PROPER(TRIM(Raw_Data!E16)),$S$6:$S$7,0)),PROPER(TRIM(Raw_Data!E16)))</f>
        <v>Cold Beverages</v>
      </c>
      <c r="F16" s="9" t="n">
        <f aca="false">IF(TRIM(Raw_Data!F16&amp;"")="",1,VALUE(Raw_Data!F16))</f>
        <v>2</v>
      </c>
      <c r="G16" s="13" t="n">
        <f aca="false">VALUE(Raw_Data!G16)</f>
        <v>150</v>
      </c>
      <c r="H16" s="13" t="n">
        <f aca="false">F16*G16</f>
        <v>300</v>
      </c>
      <c r="I16" s="13" t="n">
        <f aca="false">VALUE(Raw_Data!H16)</f>
        <v>130</v>
      </c>
      <c r="J16" s="13" t="n">
        <f aca="false">H16-I16</f>
        <v>170</v>
      </c>
      <c r="K16" s="14" t="n">
        <f aca="false">IFERROR(J16/H16,0)</f>
        <v>0.566666666666667</v>
      </c>
      <c r="L16" s="9" t="str">
        <f aca="false">TEXT(B16,"MMM-YYYY")</f>
        <v>Aug-2026</v>
      </c>
      <c r="M16" s="9" t="n">
        <f aca="false">YEAR(B16)</f>
        <v>2026</v>
      </c>
      <c r="N16" s="9" t="str">
        <f aca="false">IF(TRIM(Raw_Data!I16&amp;"")="","Not Specified",TRIM(Raw_Data!I16))</f>
        <v>UPI</v>
      </c>
      <c r="O16" s="9" t="str">
        <f aca="false">PROPER(TRIM(Raw_Data!J16))</f>
        <v>Cancelled</v>
      </c>
      <c r="P16" s="9" t="str">
        <f aca="false">IF(O16="Completed","Completed","Not Completed")</f>
        <v>Not Completed</v>
      </c>
    </row>
    <row r="17" customFormat="false" ht="15" hidden="false" customHeight="false" outlineLevel="0" collapsed="false">
      <c r="A17" s="9" t="str">
        <f aca="false">Raw_Data!A17</f>
        <v>ORD1106</v>
      </c>
      <c r="B17" s="10" t="n">
        <f aca="false">IF(ISNUMBER(Raw_Data!B17),Raw_Data!B17,DATE(VALUE(RIGHT(Raw_Data!B17,4)),VALUE(MID(Raw_Data!B17,4,2)),VALUE(LEFT(Raw_Data!B17,2))))</f>
        <v>46213</v>
      </c>
      <c r="C17" s="9" t="str">
        <f aca="false">IFERROR(INDEX($T$10:$T$11,MATCH(PROPER(TRIM(Raw_Data!C17)),$S$10:$S$11,0)),PROPER(TRIM(Raw_Data!C17)))</f>
        <v>Koramangala</v>
      </c>
      <c r="D17" s="9" t="str">
        <f aca="false">PROPER(TRIM(Raw_Data!D17))</f>
        <v>Cappuccino</v>
      </c>
      <c r="E17" s="9" t="str">
        <f aca="false">IFERROR(INDEX($T$6:$T$7,MATCH(PROPER(TRIM(Raw_Data!E17)),$S$6:$S$7,0)),PROPER(TRIM(Raw_Data!E17)))</f>
        <v>Hot Beverages</v>
      </c>
      <c r="F17" s="9" t="n">
        <f aca="false">IF(TRIM(Raw_Data!F17&amp;"")="",1,VALUE(Raw_Data!F17))</f>
        <v>1</v>
      </c>
      <c r="G17" s="13" t="n">
        <f aca="false">VALUE(Raw_Data!G17)</f>
        <v>180</v>
      </c>
      <c r="H17" s="13" t="n">
        <f aca="false">F17*G17</f>
        <v>180</v>
      </c>
      <c r="I17" s="13" t="n">
        <f aca="false">VALUE(Raw_Data!H17)</f>
        <v>79</v>
      </c>
      <c r="J17" s="13" t="n">
        <f aca="false">H17-I17</f>
        <v>101</v>
      </c>
      <c r="K17" s="14" t="n">
        <f aca="false">IFERROR(J17/H17,0)</f>
        <v>0.561111111111111</v>
      </c>
      <c r="L17" s="9" t="str">
        <f aca="false">TEXT(B17,"MMM-YYYY")</f>
        <v>Jul-2026</v>
      </c>
      <c r="M17" s="9" t="n">
        <f aca="false">YEAR(B17)</f>
        <v>2026</v>
      </c>
      <c r="N17" s="9" t="str">
        <f aca="false">IF(TRIM(Raw_Data!I17&amp;"")="","Not Specified",TRIM(Raw_Data!I17))</f>
        <v>Cash</v>
      </c>
      <c r="O17" s="9" t="str">
        <f aca="false">PROPER(TRIM(Raw_Data!J17))</f>
        <v>Completed</v>
      </c>
      <c r="P17" s="9" t="str">
        <f aca="false">IF(O17="Completed","Completed","Not Completed")</f>
        <v>Completed</v>
      </c>
    </row>
    <row r="18" customFormat="false" ht="15" hidden="false" customHeight="false" outlineLevel="0" collapsed="false">
      <c r="A18" s="9" t="str">
        <f aca="false">Raw_Data!A18</f>
        <v>ORD1146</v>
      </c>
      <c r="B18" s="10" t="n">
        <f aca="false">IF(ISNUMBER(Raw_Data!B18),Raw_Data!B18,DATE(VALUE(RIGHT(Raw_Data!B18,4)),VALUE(MID(Raw_Data!B18,4,2)),VALUE(LEFT(Raw_Data!B18,2))))</f>
        <v>46255</v>
      </c>
      <c r="C18" s="9" t="str">
        <f aca="false">IFERROR(INDEX($T$10:$T$11,MATCH(PROPER(TRIM(Raw_Data!C18)),$S$10:$S$11,0)),PROPER(TRIM(Raw_Data!C18)))</f>
        <v>Indiranagar</v>
      </c>
      <c r="D18" s="9" t="str">
        <f aca="false">PROPER(TRIM(Raw_Data!D18))</f>
        <v>Danish Pastry</v>
      </c>
      <c r="E18" s="9" t="str">
        <f aca="false">IFERROR(INDEX($T$6:$T$7,MATCH(PROPER(TRIM(Raw_Data!E18)),$S$6:$S$7,0)),PROPER(TRIM(Raw_Data!E18)))</f>
        <v>Bakery</v>
      </c>
      <c r="F18" s="9" t="n">
        <f aca="false">IF(TRIM(Raw_Data!F18&amp;"")="",1,VALUE(Raw_Data!F18))</f>
        <v>2</v>
      </c>
      <c r="G18" s="13" t="n">
        <f aca="false">VALUE(Raw_Data!G18)</f>
        <v>160</v>
      </c>
      <c r="H18" s="13" t="n">
        <f aca="false">F18*G18</f>
        <v>320</v>
      </c>
      <c r="I18" s="13" t="n">
        <f aca="false">VALUE(Raw_Data!H18)</f>
        <v>136</v>
      </c>
      <c r="J18" s="13" t="n">
        <f aca="false">H18-I18</f>
        <v>184</v>
      </c>
      <c r="K18" s="14" t="n">
        <f aca="false">IFERROR(J18/H18,0)</f>
        <v>0.575</v>
      </c>
      <c r="L18" s="9" t="str">
        <f aca="false">TEXT(B18,"MMM-YYYY")</f>
        <v>Aug-2026</v>
      </c>
      <c r="M18" s="9" t="n">
        <f aca="false">YEAR(B18)</f>
        <v>2026</v>
      </c>
      <c r="N18" s="9" t="str">
        <f aca="false">IF(TRIM(Raw_Data!I18&amp;"")="","Not Specified",TRIM(Raw_Data!I18))</f>
        <v>UPI</v>
      </c>
      <c r="O18" s="9" t="str">
        <f aca="false">PROPER(TRIM(Raw_Data!J18))</f>
        <v>Completed</v>
      </c>
      <c r="P18" s="9" t="str">
        <f aca="false">IF(O18="Completed","Completed","Not Completed")</f>
        <v>Completed</v>
      </c>
    </row>
    <row r="19" customFormat="false" ht="15" hidden="false" customHeight="false" outlineLevel="0" collapsed="false">
      <c r="A19" s="9" t="str">
        <f aca="false">Raw_Data!A19</f>
        <v>ORD1088</v>
      </c>
      <c r="B19" s="10" t="n">
        <f aca="false">IF(ISNUMBER(Raw_Data!B19),Raw_Data!B19,DATE(VALUE(RIGHT(Raw_Data!B19,4)),VALUE(MID(Raw_Data!B19,4,2)),VALUE(LEFT(Raw_Data!B19,2))))</f>
        <v>46221</v>
      </c>
      <c r="C19" s="9" t="str">
        <f aca="false">IFERROR(INDEX($T$10:$T$11,MATCH(PROPER(TRIM(Raw_Data!C19)),$S$10:$S$11,0)),PROPER(TRIM(Raw_Data!C19)))</f>
        <v>HSR Layout</v>
      </c>
      <c r="D19" s="9" t="str">
        <f aca="false">PROPER(TRIM(Raw_Data!D19))</f>
        <v>Cappuccino</v>
      </c>
      <c r="E19" s="9" t="str">
        <f aca="false">IFERROR(INDEX($T$6:$T$7,MATCH(PROPER(TRIM(Raw_Data!E19)),$S$6:$S$7,0)),PROPER(TRIM(Raw_Data!E19)))</f>
        <v>Hot Beverages</v>
      </c>
      <c r="F19" s="9" t="n">
        <f aca="false">IF(TRIM(Raw_Data!F19&amp;"")="",1,VALUE(Raw_Data!F19))</f>
        <v>3</v>
      </c>
      <c r="G19" s="13" t="n">
        <f aca="false">VALUE(Raw_Data!G19)</f>
        <v>180</v>
      </c>
      <c r="H19" s="13" t="n">
        <f aca="false">F19*G19</f>
        <v>540</v>
      </c>
      <c r="I19" s="13" t="n">
        <f aca="false">VALUE(Raw_Data!H19)</f>
        <v>223</v>
      </c>
      <c r="J19" s="13" t="n">
        <f aca="false">H19-I19</f>
        <v>317</v>
      </c>
      <c r="K19" s="14" t="n">
        <f aca="false">IFERROR(J19/H19,0)</f>
        <v>0.587037037037037</v>
      </c>
      <c r="L19" s="9" t="str">
        <f aca="false">TEXT(B19,"MMM-YYYY")</f>
        <v>Jul-2026</v>
      </c>
      <c r="M19" s="9" t="n">
        <f aca="false">YEAR(B19)</f>
        <v>2026</v>
      </c>
      <c r="N19" s="9" t="str">
        <f aca="false">IF(TRIM(Raw_Data!I19&amp;"")="","Not Specified",TRIM(Raw_Data!I19))</f>
        <v>Card</v>
      </c>
      <c r="O19" s="9" t="str">
        <f aca="false">PROPER(TRIM(Raw_Data!J19))</f>
        <v>Cancelled</v>
      </c>
      <c r="P19" s="9" t="str">
        <f aca="false">IF(O19="Completed","Completed","Not Completed")</f>
        <v>Not Completed</v>
      </c>
    </row>
    <row r="20" customFormat="false" ht="15" hidden="false" customHeight="false" outlineLevel="0" collapsed="false">
      <c r="A20" s="9" t="str">
        <f aca="false">Raw_Data!A20</f>
        <v>ORD1153</v>
      </c>
      <c r="B20" s="10" t="n">
        <f aca="false">IF(ISNUMBER(Raw_Data!B20),Raw_Data!B20,DATE(VALUE(RIGHT(Raw_Data!B20,4)),VALUE(MID(Raw_Data!B20,4,2)),VALUE(LEFT(Raw_Data!B20,2))))</f>
        <v>46214</v>
      </c>
      <c r="C20" s="9" t="str">
        <f aca="false">IFERROR(INDEX($T$10:$T$11,MATCH(PROPER(TRIM(Raw_Data!C20)),$S$10:$S$11,0)),PROPER(TRIM(Raw_Data!C20)))</f>
        <v>Koramangala</v>
      </c>
      <c r="D20" s="9" t="str">
        <f aca="false">PROPER(TRIM(Raw_Data!D20))</f>
        <v>Latte</v>
      </c>
      <c r="E20" s="9" t="str">
        <f aca="false">IFERROR(INDEX($T$6:$T$7,MATCH(PROPER(TRIM(Raw_Data!E20)),$S$6:$S$7,0)),PROPER(TRIM(Raw_Data!E20)))</f>
        <v>Hot Beverages</v>
      </c>
      <c r="F20" s="9" t="n">
        <f aca="false">IF(TRIM(Raw_Data!F20&amp;"")="",1,VALUE(Raw_Data!F20))</f>
        <v>2</v>
      </c>
      <c r="G20" s="13" t="n">
        <f aca="false">VALUE(Raw_Data!G20)</f>
        <v>190</v>
      </c>
      <c r="H20" s="13" t="n">
        <f aca="false">F20*G20</f>
        <v>380</v>
      </c>
      <c r="I20" s="13" t="n">
        <f aca="false">VALUE(Raw_Data!H20)</f>
        <v>167</v>
      </c>
      <c r="J20" s="13" t="n">
        <f aca="false">H20-I20</f>
        <v>213</v>
      </c>
      <c r="K20" s="14" t="n">
        <f aca="false">IFERROR(J20/H20,0)</f>
        <v>0.560526315789474</v>
      </c>
      <c r="L20" s="9" t="str">
        <f aca="false">TEXT(B20,"MMM-YYYY")</f>
        <v>Jul-2026</v>
      </c>
      <c r="M20" s="9" t="n">
        <f aca="false">YEAR(B20)</f>
        <v>2026</v>
      </c>
      <c r="N20" s="9" t="str">
        <f aca="false">IF(TRIM(Raw_Data!I20&amp;"")="","Not Specified",TRIM(Raw_Data!I20))</f>
        <v>Cash</v>
      </c>
      <c r="O20" s="9" t="str">
        <f aca="false">PROPER(TRIM(Raw_Data!J20))</f>
        <v>Completed</v>
      </c>
      <c r="P20" s="9" t="str">
        <f aca="false">IF(O20="Completed","Completed","Not Completed")</f>
        <v>Completed</v>
      </c>
    </row>
    <row r="21" customFormat="false" ht="15" hidden="false" customHeight="false" outlineLevel="0" collapsed="false">
      <c r="A21" s="9" t="str">
        <f aca="false">Raw_Data!A21</f>
        <v>ORD1125</v>
      </c>
      <c r="B21" s="10" t="n">
        <f aca="false">IF(ISNUMBER(Raw_Data!B21),Raw_Data!B21,DATE(VALUE(RIGHT(Raw_Data!B21,4)),VALUE(MID(Raw_Data!B21,4,2)),VALUE(LEFT(Raw_Data!B21,2))))</f>
        <v>46244</v>
      </c>
      <c r="C21" s="9" t="str">
        <f aca="false">IFERROR(INDEX($T$10:$T$11,MATCH(PROPER(TRIM(Raw_Data!C21)),$S$10:$S$11,0)),PROPER(TRIM(Raw_Data!C21)))</f>
        <v>Whitefield</v>
      </c>
      <c r="D21" s="9" t="str">
        <f aca="false">PROPER(TRIM(Raw_Data!D21))</f>
        <v>Cold Brew</v>
      </c>
      <c r="E21" s="9" t="str">
        <f aca="false">IFERROR(INDEX($T$6:$T$7,MATCH(PROPER(TRIM(Raw_Data!E21)),$S$6:$S$7,0)),PROPER(TRIM(Raw_Data!E21)))</f>
        <v>Cold Beverages</v>
      </c>
      <c r="F21" s="9" t="n">
        <f aca="false">IF(TRIM(Raw_Data!F21&amp;"")="",1,VALUE(Raw_Data!F21))</f>
        <v>4</v>
      </c>
      <c r="G21" s="13" t="n">
        <f aca="false">VALUE(Raw_Data!G21)</f>
        <v>220</v>
      </c>
      <c r="H21" s="13" t="n">
        <f aca="false">F21*G21</f>
        <v>880</v>
      </c>
      <c r="I21" s="13" t="n">
        <f aca="false">VALUE(Raw_Data!H21)</f>
        <v>412</v>
      </c>
      <c r="J21" s="13" t="n">
        <f aca="false">H21-I21</f>
        <v>468</v>
      </c>
      <c r="K21" s="14" t="n">
        <f aca="false">IFERROR(J21/H21,0)</f>
        <v>0.531818181818182</v>
      </c>
      <c r="L21" s="9" t="str">
        <f aca="false">TEXT(B21,"MMM-YYYY")</f>
        <v>Aug-2026</v>
      </c>
      <c r="M21" s="9" t="n">
        <f aca="false">YEAR(B21)</f>
        <v>2026</v>
      </c>
      <c r="N21" s="9" t="str">
        <f aca="false">IF(TRIM(Raw_Data!I21&amp;"")="","Not Specified",TRIM(Raw_Data!I21))</f>
        <v>Card</v>
      </c>
      <c r="O21" s="9" t="str">
        <f aca="false">PROPER(TRIM(Raw_Data!J21))</f>
        <v>Completed</v>
      </c>
      <c r="P21" s="9" t="str">
        <f aca="false">IF(O21="Completed","Completed","Not Completed")</f>
        <v>Completed</v>
      </c>
    </row>
    <row r="22" customFormat="false" ht="15" hidden="false" customHeight="false" outlineLevel="0" collapsed="false">
      <c r="A22" s="9" t="str">
        <f aca="false">Raw_Data!A22</f>
        <v>ORD1093</v>
      </c>
      <c r="B22" s="10" t="n">
        <f aca="false">IF(ISNUMBER(Raw_Data!B22),Raw_Data!B22,DATE(VALUE(RIGHT(Raw_Data!B22,4)),VALUE(MID(Raw_Data!B22,4,2)),VALUE(LEFT(Raw_Data!B22,2))))</f>
        <v>46200</v>
      </c>
      <c r="C22" s="9" t="str">
        <f aca="false">IFERROR(INDEX($T$10:$T$11,MATCH(PROPER(TRIM(Raw_Data!C22)),$S$10:$S$11,0)),PROPER(TRIM(Raw_Data!C22)))</f>
        <v>HSR Layout</v>
      </c>
      <c r="D22" s="9" t="str">
        <f aca="false">PROPER(TRIM(Raw_Data!D22))</f>
        <v>Frappe</v>
      </c>
      <c r="E22" s="9" t="str">
        <f aca="false">IFERROR(INDEX($T$6:$T$7,MATCH(PROPER(TRIM(Raw_Data!E22)),$S$6:$S$7,0)),PROPER(TRIM(Raw_Data!E22)))</f>
        <v>Cold Beverages</v>
      </c>
      <c r="F22" s="9" t="n">
        <f aca="false">IF(TRIM(Raw_Data!F22&amp;"")="",1,VALUE(Raw_Data!F22))</f>
        <v>2</v>
      </c>
      <c r="G22" s="13" t="n">
        <f aca="false">VALUE(Raw_Data!G22)</f>
        <v>240</v>
      </c>
      <c r="H22" s="13" t="n">
        <f aca="false">F22*G22</f>
        <v>480</v>
      </c>
      <c r="I22" s="13" t="n">
        <f aca="false">VALUE(Raw_Data!H22)</f>
        <v>198</v>
      </c>
      <c r="J22" s="13" t="n">
        <f aca="false">H22-I22</f>
        <v>282</v>
      </c>
      <c r="K22" s="14" t="n">
        <f aca="false">IFERROR(J22/H22,0)</f>
        <v>0.5875</v>
      </c>
      <c r="L22" s="9" t="str">
        <f aca="false">TEXT(B22,"MMM-YYYY")</f>
        <v>Jun-2026</v>
      </c>
      <c r="M22" s="9" t="n">
        <f aca="false">YEAR(B22)</f>
        <v>2026</v>
      </c>
      <c r="N22" s="9" t="str">
        <f aca="false">IF(TRIM(Raw_Data!I22&amp;"")="","Not Specified",TRIM(Raw_Data!I22))</f>
        <v>Cash</v>
      </c>
      <c r="O22" s="9" t="str">
        <f aca="false">PROPER(TRIM(Raw_Data!J22))</f>
        <v>Completed</v>
      </c>
      <c r="P22" s="9" t="str">
        <f aca="false">IF(O22="Completed","Completed","Not Completed")</f>
        <v>Completed</v>
      </c>
    </row>
    <row r="23" customFormat="false" ht="15" hidden="false" customHeight="false" outlineLevel="0" collapsed="false">
      <c r="A23" s="9" t="str">
        <f aca="false">Raw_Data!A23</f>
        <v>ORD1102</v>
      </c>
      <c r="B23" s="10" t="n">
        <f aca="false">IF(ISNUMBER(Raw_Data!B23),Raw_Data!B23,DATE(VALUE(RIGHT(Raw_Data!B23,4)),VALUE(MID(Raw_Data!B23,4,2)),VALUE(LEFT(Raw_Data!B23,2))))</f>
        <v>46178</v>
      </c>
      <c r="C23" s="9" t="str">
        <f aca="false">IFERROR(INDEX($T$10:$T$11,MATCH(PROPER(TRIM(Raw_Data!C23)),$S$10:$S$11,0)),PROPER(TRIM(Raw_Data!C23)))</f>
        <v>Whitefield</v>
      </c>
      <c r="D23" s="9" t="str">
        <f aca="false">PROPER(TRIM(Raw_Data!D23))</f>
        <v>Hot Chocolate</v>
      </c>
      <c r="E23" s="9" t="str">
        <f aca="false">IFERROR(INDEX($T$6:$T$7,MATCH(PROPER(TRIM(Raw_Data!E23)),$S$6:$S$7,0)),PROPER(TRIM(Raw_Data!E23)))</f>
        <v>Hot Beverages</v>
      </c>
      <c r="F23" s="9" t="n">
        <f aca="false">IF(TRIM(Raw_Data!F23&amp;"")="",1,VALUE(Raw_Data!F23))</f>
        <v>2</v>
      </c>
      <c r="G23" s="13" t="n">
        <f aca="false">VALUE(Raw_Data!G23)</f>
        <v>170</v>
      </c>
      <c r="H23" s="13" t="n">
        <f aca="false">F23*G23</f>
        <v>340</v>
      </c>
      <c r="I23" s="13" t="n">
        <f aca="false">VALUE(Raw_Data!H23)</f>
        <v>137</v>
      </c>
      <c r="J23" s="13" t="n">
        <f aca="false">H23-I23</f>
        <v>203</v>
      </c>
      <c r="K23" s="14" t="n">
        <f aca="false">IFERROR(J23/H23,0)</f>
        <v>0.597058823529412</v>
      </c>
      <c r="L23" s="9" t="str">
        <f aca="false">TEXT(B23,"MMM-YYYY")</f>
        <v>Jun-2026</v>
      </c>
      <c r="M23" s="9" t="n">
        <f aca="false">YEAR(B23)</f>
        <v>2026</v>
      </c>
      <c r="N23" s="9" t="str">
        <f aca="false">IF(TRIM(Raw_Data!I23&amp;"")="","Not Specified",TRIM(Raw_Data!I23))</f>
        <v>UPI</v>
      </c>
      <c r="O23" s="9" t="str">
        <f aca="false">PROPER(TRIM(Raw_Data!J23))</f>
        <v>Completed</v>
      </c>
      <c r="P23" s="9" t="str">
        <f aca="false">IF(O23="Completed","Completed","Not Completed")</f>
        <v>Completed</v>
      </c>
    </row>
    <row r="24" customFormat="false" ht="15" hidden="false" customHeight="false" outlineLevel="0" collapsed="false">
      <c r="A24" s="9" t="str">
        <f aca="false">Raw_Data!A24</f>
        <v>ORD1014</v>
      </c>
      <c r="B24" s="10" t="n">
        <f aca="false">IF(ISNUMBER(Raw_Data!B24),Raw_Data!B24,DATE(VALUE(RIGHT(Raw_Data!B24,4)),VALUE(MID(Raw_Data!B24,4,2)),VALUE(LEFT(Raw_Data!B24,2))))</f>
        <v>46224</v>
      </c>
      <c r="C24" s="9" t="str">
        <f aca="false">IFERROR(INDEX($T$10:$T$11,MATCH(PROPER(TRIM(Raw_Data!C24)),$S$10:$S$11,0)),PROPER(TRIM(Raw_Data!C24)))</f>
        <v>HSR Layout</v>
      </c>
      <c r="D24" s="9" t="str">
        <f aca="false">PROPER(TRIM(Raw_Data!D24))</f>
        <v>Garlic Bread</v>
      </c>
      <c r="E24" s="9" t="str">
        <f aca="false">IFERROR(INDEX($T$6:$T$7,MATCH(PROPER(TRIM(Raw_Data!E24)),$S$6:$S$7,0)),PROPER(TRIM(Raw_Data!E24)))</f>
        <v>Snacks</v>
      </c>
      <c r="F24" s="9" t="n">
        <f aca="false">IF(TRIM(Raw_Data!F24&amp;"")="",1,VALUE(Raw_Data!F24))</f>
        <v>1</v>
      </c>
      <c r="G24" s="13" t="n">
        <f aca="false">VALUE(Raw_Data!G24)</f>
        <v>150</v>
      </c>
      <c r="H24" s="13" t="n">
        <f aca="false">F24*G24</f>
        <v>150</v>
      </c>
      <c r="I24" s="13" t="n">
        <f aca="false">VALUE(Raw_Data!H24)</f>
        <v>72</v>
      </c>
      <c r="J24" s="13" t="n">
        <f aca="false">H24-I24</f>
        <v>78</v>
      </c>
      <c r="K24" s="14" t="n">
        <f aca="false">IFERROR(J24/H24,0)</f>
        <v>0.52</v>
      </c>
      <c r="L24" s="9" t="str">
        <f aca="false">TEXT(B24,"MMM-YYYY")</f>
        <v>Jul-2026</v>
      </c>
      <c r="M24" s="9" t="n">
        <f aca="false">YEAR(B24)</f>
        <v>2026</v>
      </c>
      <c r="N24" s="9" t="str">
        <f aca="false">IF(TRIM(Raw_Data!I24&amp;"")="","Not Specified",TRIM(Raw_Data!I24))</f>
        <v>UPI</v>
      </c>
      <c r="O24" s="9" t="str">
        <f aca="false">PROPER(TRIM(Raw_Data!J24))</f>
        <v>Cancelled</v>
      </c>
      <c r="P24" s="9" t="str">
        <f aca="false">IF(O24="Completed","Completed","Not Completed")</f>
        <v>Not Completed</v>
      </c>
    </row>
    <row r="25" customFormat="false" ht="15" hidden="false" customHeight="false" outlineLevel="0" collapsed="false">
      <c r="A25" s="9" t="str">
        <f aca="false">Raw_Data!A25</f>
        <v>ORD1109</v>
      </c>
      <c r="B25" s="10" t="n">
        <f aca="false">IF(ISNUMBER(Raw_Data!B25),Raw_Data!B25,DATE(VALUE(RIGHT(Raw_Data!B25,4)),VALUE(MID(Raw_Data!B25,4,2)),VALUE(LEFT(Raw_Data!B25,2))))</f>
        <v>46237</v>
      </c>
      <c r="C25" s="9" t="str">
        <f aca="false">IFERROR(INDEX($T$10:$T$11,MATCH(PROPER(TRIM(Raw_Data!C25)),$S$10:$S$11,0)),PROPER(TRIM(Raw_Data!C25)))</f>
        <v>Indiranagar</v>
      </c>
      <c r="D25" s="9" t="str">
        <f aca="false">PROPER(TRIM(Raw_Data!D25))</f>
        <v>Croissant</v>
      </c>
      <c r="E25" s="9" t="str">
        <f aca="false">IFERROR(INDEX($T$6:$T$7,MATCH(PROPER(TRIM(Raw_Data!E25)),$S$6:$S$7,0)),PROPER(TRIM(Raw_Data!E25)))</f>
        <v>Bakery</v>
      </c>
      <c r="F25" s="9" t="n">
        <f aca="false">IF(TRIM(Raw_Data!F25&amp;"")="",1,VALUE(Raw_Data!F25))</f>
        <v>2</v>
      </c>
      <c r="G25" s="13" t="n">
        <f aca="false">VALUE(Raw_Data!G25)</f>
        <v>140</v>
      </c>
      <c r="H25" s="13" t="n">
        <f aca="false">F25*G25</f>
        <v>280</v>
      </c>
      <c r="I25" s="13" t="n">
        <f aca="false">VALUE(Raw_Data!H25)</f>
        <v>119</v>
      </c>
      <c r="J25" s="13" t="n">
        <f aca="false">H25-I25</f>
        <v>161</v>
      </c>
      <c r="K25" s="14" t="n">
        <f aca="false">IFERROR(J25/H25,0)</f>
        <v>0.575</v>
      </c>
      <c r="L25" s="9" t="str">
        <f aca="false">TEXT(B25,"MMM-YYYY")</f>
        <v>Aug-2026</v>
      </c>
      <c r="M25" s="9" t="n">
        <f aca="false">YEAR(B25)</f>
        <v>2026</v>
      </c>
      <c r="N25" s="9" t="str">
        <f aca="false">IF(TRIM(Raw_Data!I25&amp;"")="","Not Specified",TRIM(Raw_Data!I25))</f>
        <v>UPI</v>
      </c>
      <c r="O25" s="9" t="str">
        <f aca="false">PROPER(TRIM(Raw_Data!J25))</f>
        <v>Completed</v>
      </c>
      <c r="P25" s="9" t="str">
        <f aca="false">IF(O25="Completed","Completed","Not Completed")</f>
        <v>Completed</v>
      </c>
    </row>
    <row r="26" customFormat="false" ht="15" hidden="false" customHeight="false" outlineLevel="0" collapsed="false">
      <c r="A26" s="9" t="str">
        <f aca="false">Raw_Data!A26</f>
        <v>ORD1076</v>
      </c>
      <c r="B26" s="10" t="n">
        <f aca="false">IF(ISNUMBER(Raw_Data!B26),Raw_Data!B26,DATE(VALUE(RIGHT(Raw_Data!B26,4)),VALUE(MID(Raw_Data!B26,4,2)),VALUE(LEFT(Raw_Data!B26,2))))</f>
        <v>46192</v>
      </c>
      <c r="C26" s="9" t="str">
        <f aca="false">IFERROR(INDEX($T$10:$T$11,MATCH(PROPER(TRIM(Raw_Data!C26)),$S$10:$S$11,0)),PROPER(TRIM(Raw_Data!C26)))</f>
        <v>Whitefield</v>
      </c>
      <c r="D26" s="9" t="str">
        <f aca="false">PROPER(TRIM(Raw_Data!D26))</f>
        <v>Iced Tea</v>
      </c>
      <c r="E26" s="9" t="str">
        <f aca="false">IFERROR(INDEX($T$6:$T$7,MATCH(PROPER(TRIM(Raw_Data!E26)),$S$6:$S$7,0)),PROPER(TRIM(Raw_Data!E26)))</f>
        <v>Cold Beverages</v>
      </c>
      <c r="F26" s="9" t="n">
        <f aca="false">IF(TRIM(Raw_Data!F26&amp;"")="",1,VALUE(Raw_Data!F26))</f>
        <v>2</v>
      </c>
      <c r="G26" s="13" t="n">
        <f aca="false">VALUE(Raw_Data!G26)</f>
        <v>150</v>
      </c>
      <c r="H26" s="13" t="n">
        <f aca="false">F26*G26</f>
        <v>300</v>
      </c>
      <c r="I26" s="13" t="n">
        <f aca="false">VALUE(Raw_Data!H26)</f>
        <v>135</v>
      </c>
      <c r="J26" s="13" t="n">
        <f aca="false">H26-I26</f>
        <v>165</v>
      </c>
      <c r="K26" s="14" t="n">
        <f aca="false">IFERROR(J26/H26,0)</f>
        <v>0.55</v>
      </c>
      <c r="L26" s="9" t="str">
        <f aca="false">TEXT(B26,"MMM-YYYY")</f>
        <v>Jun-2026</v>
      </c>
      <c r="M26" s="9" t="n">
        <f aca="false">YEAR(B26)</f>
        <v>2026</v>
      </c>
      <c r="N26" s="9" t="str">
        <f aca="false">IF(TRIM(Raw_Data!I26&amp;"")="","Not Specified",TRIM(Raw_Data!I26))</f>
        <v>Cash</v>
      </c>
      <c r="O26" s="9" t="str">
        <f aca="false">PROPER(TRIM(Raw_Data!J26))</f>
        <v>Completed</v>
      </c>
      <c r="P26" s="9" t="str">
        <f aca="false">IF(O26="Completed","Completed","Not Completed")</f>
        <v>Completed</v>
      </c>
    </row>
    <row r="27" customFormat="false" ht="15" hidden="false" customHeight="false" outlineLevel="0" collapsed="false">
      <c r="A27" s="9" t="str">
        <f aca="false">Raw_Data!A27</f>
        <v>ORD1041</v>
      </c>
      <c r="B27" s="10" t="n">
        <f aca="false">IF(ISNUMBER(Raw_Data!B27),Raw_Data!B27,DATE(VALUE(RIGHT(Raw_Data!B27,4)),VALUE(MID(Raw_Data!B27,4,2)),VALUE(LEFT(Raw_Data!B27,2))))</f>
        <v>46215</v>
      </c>
      <c r="C27" s="9" t="str">
        <f aca="false">IFERROR(INDEX($T$10:$T$11,MATCH(PROPER(TRIM(Raw_Data!C27)),$S$10:$S$11,0)),PROPER(TRIM(Raw_Data!C27)))</f>
        <v>HSR Layout</v>
      </c>
      <c r="D27" s="9" t="str">
        <f aca="false">PROPER(TRIM(Raw_Data!D27))</f>
        <v>Filter Coffee</v>
      </c>
      <c r="E27" s="9" t="str">
        <f aca="false">IFERROR(INDEX($T$6:$T$7,MATCH(PROPER(TRIM(Raw_Data!E27)),$S$6:$S$7,0)),PROPER(TRIM(Raw_Data!E27)))</f>
        <v>Hot Beverages</v>
      </c>
      <c r="F27" s="9" t="n">
        <f aca="false">IF(TRIM(Raw_Data!F27&amp;"")="",1,VALUE(Raw_Data!F27))</f>
        <v>3</v>
      </c>
      <c r="G27" s="13" t="n">
        <f aca="false">VALUE(Raw_Data!G27)</f>
        <v>120</v>
      </c>
      <c r="H27" s="13" t="n">
        <f aca="false">F27*G27</f>
        <v>360</v>
      </c>
      <c r="I27" s="13" t="n">
        <f aca="false">VALUE(Raw_Data!H27)</f>
        <v>128</v>
      </c>
      <c r="J27" s="13" t="n">
        <f aca="false">H27-I27</f>
        <v>232</v>
      </c>
      <c r="K27" s="14" t="n">
        <f aca="false">IFERROR(J27/H27,0)</f>
        <v>0.644444444444445</v>
      </c>
      <c r="L27" s="9" t="str">
        <f aca="false">TEXT(B27,"MMM-YYYY")</f>
        <v>Jul-2026</v>
      </c>
      <c r="M27" s="9" t="n">
        <f aca="false">YEAR(B27)</f>
        <v>2026</v>
      </c>
      <c r="N27" s="9" t="str">
        <f aca="false">IF(TRIM(Raw_Data!I27&amp;"")="","Not Specified",TRIM(Raw_Data!I27))</f>
        <v>UPI</v>
      </c>
      <c r="O27" s="9" t="str">
        <f aca="false">PROPER(TRIM(Raw_Data!J27))</f>
        <v>Completed</v>
      </c>
      <c r="P27" s="9" t="str">
        <f aca="false">IF(O27="Completed","Completed","Not Completed")</f>
        <v>Completed</v>
      </c>
    </row>
    <row r="28" customFormat="false" ht="15" hidden="false" customHeight="false" outlineLevel="0" collapsed="false">
      <c r="A28" s="9" t="str">
        <f aca="false">Raw_Data!A28</f>
        <v>ORD1148</v>
      </c>
      <c r="B28" s="10" t="n">
        <f aca="false">IF(ISNUMBER(Raw_Data!B28),Raw_Data!B28,DATE(VALUE(RIGHT(Raw_Data!B28,4)),VALUE(MID(Raw_Data!B28,4,2)),VALUE(LEFT(Raw_Data!B28,2))))</f>
        <v>46198</v>
      </c>
      <c r="C28" s="9" t="str">
        <f aca="false">IFERROR(INDEX($T$10:$T$11,MATCH(PROPER(TRIM(Raw_Data!C28)),$S$10:$S$11,0)),PROPER(TRIM(Raw_Data!C28)))</f>
        <v>Koramangala</v>
      </c>
      <c r="D28" s="9" t="str">
        <f aca="false">PROPER(TRIM(Raw_Data!D28))</f>
        <v>Latte</v>
      </c>
      <c r="E28" s="9" t="str">
        <f aca="false">IFERROR(INDEX($T$6:$T$7,MATCH(PROPER(TRIM(Raw_Data!E28)),$S$6:$S$7,0)),PROPER(TRIM(Raw_Data!E28)))</f>
        <v>Hot Beverages</v>
      </c>
      <c r="F28" s="9" t="n">
        <f aca="false">IF(TRIM(Raw_Data!F28&amp;"")="",1,VALUE(Raw_Data!F28))</f>
        <v>2</v>
      </c>
      <c r="G28" s="13" t="n">
        <f aca="false">VALUE(Raw_Data!G28)</f>
        <v>190</v>
      </c>
      <c r="H28" s="13" t="n">
        <f aca="false">F28*G28</f>
        <v>380</v>
      </c>
      <c r="I28" s="13" t="n">
        <f aca="false">VALUE(Raw_Data!H28)</f>
        <v>145</v>
      </c>
      <c r="J28" s="13" t="n">
        <f aca="false">H28-I28</f>
        <v>235</v>
      </c>
      <c r="K28" s="14" t="n">
        <f aca="false">IFERROR(J28/H28,0)</f>
        <v>0.618421052631579</v>
      </c>
      <c r="L28" s="9" t="str">
        <f aca="false">TEXT(B28,"MMM-YYYY")</f>
        <v>Jun-2026</v>
      </c>
      <c r="M28" s="9" t="n">
        <f aca="false">YEAR(B28)</f>
        <v>2026</v>
      </c>
      <c r="N28" s="9" t="str">
        <f aca="false">IF(TRIM(Raw_Data!I28&amp;"")="","Not Specified",TRIM(Raw_Data!I28))</f>
        <v>UPI</v>
      </c>
      <c r="O28" s="9" t="str">
        <f aca="false">PROPER(TRIM(Raw_Data!J28))</f>
        <v>Completed</v>
      </c>
      <c r="P28" s="9" t="str">
        <f aca="false">IF(O28="Completed","Completed","Not Completed")</f>
        <v>Completed</v>
      </c>
    </row>
    <row r="29" customFormat="false" ht="15" hidden="false" customHeight="false" outlineLevel="0" collapsed="false">
      <c r="A29" s="9" t="str">
        <f aca="false">Raw_Data!A29</f>
        <v>ORD1192</v>
      </c>
      <c r="B29" s="10" t="n">
        <f aca="false">IF(ISNUMBER(Raw_Data!B29),Raw_Data!B29,DATE(VALUE(RIGHT(Raw_Data!B29,4)),VALUE(MID(Raw_Data!B29,4,2)),VALUE(LEFT(Raw_Data!B29,2))))</f>
        <v>46263</v>
      </c>
      <c r="C29" s="9" t="str">
        <f aca="false">IFERROR(INDEX($T$10:$T$11,MATCH(PROPER(TRIM(Raw_Data!C29)),$S$10:$S$11,0)),PROPER(TRIM(Raw_Data!C29)))</f>
        <v>Koramangala</v>
      </c>
      <c r="D29" s="9" t="str">
        <f aca="false">PROPER(TRIM(Raw_Data!D29))</f>
        <v>Muffin</v>
      </c>
      <c r="E29" s="9" t="str">
        <f aca="false">IFERROR(INDEX($T$6:$T$7,MATCH(PROPER(TRIM(Raw_Data!E29)),$S$6:$S$7,0)),PROPER(TRIM(Raw_Data!E29)))</f>
        <v>Bakery</v>
      </c>
      <c r="F29" s="9" t="n">
        <f aca="false">IF(TRIM(Raw_Data!F29&amp;"")="",1,VALUE(Raw_Data!F29))</f>
        <v>1</v>
      </c>
      <c r="G29" s="13" t="n">
        <f aca="false">VALUE(Raw_Data!G29)</f>
        <v>130</v>
      </c>
      <c r="H29" s="13" t="n">
        <f aca="false">F29*G29</f>
        <v>130</v>
      </c>
      <c r="I29" s="13" t="n">
        <f aca="false">VALUE(Raw_Data!H29)</f>
        <v>58</v>
      </c>
      <c r="J29" s="13" t="n">
        <f aca="false">H29-I29</f>
        <v>72</v>
      </c>
      <c r="K29" s="14" t="n">
        <f aca="false">IFERROR(J29/H29,0)</f>
        <v>0.553846153846154</v>
      </c>
      <c r="L29" s="9" t="str">
        <f aca="false">TEXT(B29,"MMM-YYYY")</f>
        <v>Aug-2026</v>
      </c>
      <c r="M29" s="9" t="n">
        <f aca="false">YEAR(B29)</f>
        <v>2026</v>
      </c>
      <c r="N29" s="9" t="str">
        <f aca="false">IF(TRIM(Raw_Data!I29&amp;"")="","Not Specified",TRIM(Raw_Data!I29))</f>
        <v>UPI</v>
      </c>
      <c r="O29" s="9" t="str">
        <f aca="false">PROPER(TRIM(Raw_Data!J29))</f>
        <v>Cancelled</v>
      </c>
      <c r="P29" s="9" t="str">
        <f aca="false">IF(O29="Completed","Completed","Not Completed")</f>
        <v>Not Completed</v>
      </c>
    </row>
    <row r="30" customFormat="false" ht="15" hidden="false" customHeight="false" outlineLevel="0" collapsed="false">
      <c r="A30" s="9" t="str">
        <f aca="false">Raw_Data!A30</f>
        <v>ORD1193</v>
      </c>
      <c r="B30" s="10" t="n">
        <f aca="false">IF(ISNUMBER(Raw_Data!B30),Raw_Data!B30,DATE(VALUE(RIGHT(Raw_Data!B30,4)),VALUE(MID(Raw_Data!B30,4,2)),VALUE(LEFT(Raw_Data!B30,2))))</f>
        <v>46185</v>
      </c>
      <c r="C30" s="9" t="str">
        <f aca="false">IFERROR(INDEX($T$10:$T$11,MATCH(PROPER(TRIM(Raw_Data!C30)),$S$10:$S$11,0)),PROPER(TRIM(Raw_Data!C30)))</f>
        <v>HSR Layout</v>
      </c>
      <c r="D30" s="9" t="str">
        <f aca="false">PROPER(TRIM(Raw_Data!D30))</f>
        <v>Cappuccino</v>
      </c>
      <c r="E30" s="9" t="str">
        <f aca="false">IFERROR(INDEX($T$6:$T$7,MATCH(PROPER(TRIM(Raw_Data!E30)),$S$6:$S$7,0)),PROPER(TRIM(Raw_Data!E30)))</f>
        <v>Hot Beverages</v>
      </c>
      <c r="F30" s="9" t="n">
        <f aca="false">IF(TRIM(Raw_Data!F30&amp;"")="",1,VALUE(Raw_Data!F30))</f>
        <v>1</v>
      </c>
      <c r="G30" s="13" t="n">
        <f aca="false">VALUE(Raw_Data!G30)</f>
        <v>180</v>
      </c>
      <c r="H30" s="13" t="n">
        <f aca="false">F30*G30</f>
        <v>180</v>
      </c>
      <c r="I30" s="13" t="n">
        <f aca="false">VALUE(Raw_Data!H30)</f>
        <v>68</v>
      </c>
      <c r="J30" s="13" t="n">
        <f aca="false">H30-I30</f>
        <v>112</v>
      </c>
      <c r="K30" s="14" t="n">
        <f aca="false">IFERROR(J30/H30,0)</f>
        <v>0.622222222222222</v>
      </c>
      <c r="L30" s="9" t="str">
        <f aca="false">TEXT(B30,"MMM-YYYY")</f>
        <v>Jun-2026</v>
      </c>
      <c r="M30" s="9" t="n">
        <f aca="false">YEAR(B30)</f>
        <v>2026</v>
      </c>
      <c r="N30" s="9" t="str">
        <f aca="false">IF(TRIM(Raw_Data!I30&amp;"")="","Not Specified",TRIM(Raw_Data!I30))</f>
        <v>UPI</v>
      </c>
      <c r="O30" s="9" t="str">
        <f aca="false">PROPER(TRIM(Raw_Data!J30))</f>
        <v>Completed</v>
      </c>
      <c r="P30" s="9" t="str">
        <f aca="false">IF(O30="Completed","Completed","Not Completed")</f>
        <v>Completed</v>
      </c>
    </row>
    <row r="31" customFormat="false" ht="15" hidden="false" customHeight="false" outlineLevel="0" collapsed="false">
      <c r="A31" s="9" t="str">
        <f aca="false">Raw_Data!A31</f>
        <v>ORD1195</v>
      </c>
      <c r="B31" s="10" t="n">
        <f aca="false">IF(ISNUMBER(Raw_Data!B31),Raw_Data!B31,DATE(VALUE(RIGHT(Raw_Data!B31,4)),VALUE(MID(Raw_Data!B31,4,2)),VALUE(LEFT(Raw_Data!B31,2))))</f>
        <v>46251</v>
      </c>
      <c r="C31" s="9" t="str">
        <f aca="false">IFERROR(INDEX($T$10:$T$11,MATCH(PROPER(TRIM(Raw_Data!C31)),$S$10:$S$11,0)),PROPER(TRIM(Raw_Data!C31)))</f>
        <v>Koramangala</v>
      </c>
      <c r="D31" s="9" t="str">
        <f aca="false">PROPER(TRIM(Raw_Data!D31))</f>
        <v>Brownie</v>
      </c>
      <c r="E31" s="9" t="str">
        <f aca="false">IFERROR(INDEX($T$6:$T$7,MATCH(PROPER(TRIM(Raw_Data!E31)),$S$6:$S$7,0)),PROPER(TRIM(Raw_Data!E31)))</f>
        <v>Bakery</v>
      </c>
      <c r="F31" s="9" t="n">
        <f aca="false">IF(TRIM(Raw_Data!F31&amp;"")="",1,VALUE(Raw_Data!F31))</f>
        <v>2</v>
      </c>
      <c r="G31" s="13" t="n">
        <f aca="false">VALUE(Raw_Data!G31)</f>
        <v>150</v>
      </c>
      <c r="H31" s="13" t="n">
        <f aca="false">F31*G31</f>
        <v>300</v>
      </c>
      <c r="I31" s="13" t="n">
        <f aca="false">VALUE(Raw_Data!H31)</f>
        <v>139</v>
      </c>
      <c r="J31" s="13" t="n">
        <f aca="false">H31-I31</f>
        <v>161</v>
      </c>
      <c r="K31" s="14" t="n">
        <f aca="false">IFERROR(J31/H31,0)</f>
        <v>0.536666666666667</v>
      </c>
      <c r="L31" s="9" t="str">
        <f aca="false">TEXT(B31,"MMM-YYYY")</f>
        <v>Aug-2026</v>
      </c>
      <c r="M31" s="9" t="n">
        <f aca="false">YEAR(B31)</f>
        <v>2026</v>
      </c>
      <c r="N31" s="9" t="str">
        <f aca="false">IF(TRIM(Raw_Data!I31&amp;"")="","Not Specified",TRIM(Raw_Data!I31))</f>
        <v>Card</v>
      </c>
      <c r="O31" s="9" t="str">
        <f aca="false">PROPER(TRIM(Raw_Data!J31))</f>
        <v>Completed</v>
      </c>
      <c r="P31" s="9" t="str">
        <f aca="false">IF(O31="Completed","Completed","Not Completed")</f>
        <v>Completed</v>
      </c>
    </row>
    <row r="32" customFormat="false" ht="15" hidden="false" customHeight="false" outlineLevel="0" collapsed="false">
      <c r="A32" s="9" t="str">
        <f aca="false">Raw_Data!A32</f>
        <v>ORD1118</v>
      </c>
      <c r="B32" s="10" t="n">
        <f aca="false">IF(ISNUMBER(Raw_Data!B32),Raw_Data!B32,DATE(VALUE(RIGHT(Raw_Data!B32,4)),VALUE(MID(Raw_Data!B32,4,2)),VALUE(LEFT(Raw_Data!B32,2))))</f>
        <v>46254</v>
      </c>
      <c r="C32" s="9" t="str">
        <f aca="false">IFERROR(INDEX($T$10:$T$11,MATCH(PROPER(TRIM(Raw_Data!C32)),$S$10:$S$11,0)),PROPER(TRIM(Raw_Data!C32)))</f>
        <v>HSR Layout</v>
      </c>
      <c r="D32" s="9" t="str">
        <f aca="false">PROPER(TRIM(Raw_Data!D32))</f>
        <v>Latte</v>
      </c>
      <c r="E32" s="9" t="str">
        <f aca="false">IFERROR(INDEX($T$6:$T$7,MATCH(PROPER(TRIM(Raw_Data!E32)),$S$6:$S$7,0)),PROPER(TRIM(Raw_Data!E32)))</f>
        <v>Hot Beverages</v>
      </c>
      <c r="F32" s="9" t="n">
        <f aca="false">IF(TRIM(Raw_Data!F32&amp;"")="",1,VALUE(Raw_Data!F32))</f>
        <v>1</v>
      </c>
      <c r="G32" s="13" t="n">
        <f aca="false">VALUE(Raw_Data!G32)</f>
        <v>190</v>
      </c>
      <c r="H32" s="13" t="n">
        <f aca="false">F32*G32</f>
        <v>190</v>
      </c>
      <c r="I32" s="13" t="n">
        <f aca="false">VALUE(Raw_Data!H32)</f>
        <v>75</v>
      </c>
      <c r="J32" s="13" t="n">
        <f aca="false">H32-I32</f>
        <v>115</v>
      </c>
      <c r="K32" s="14" t="n">
        <f aca="false">IFERROR(J32/H32,0)</f>
        <v>0.605263157894737</v>
      </c>
      <c r="L32" s="9" t="str">
        <f aca="false">TEXT(B32,"MMM-YYYY")</f>
        <v>Aug-2026</v>
      </c>
      <c r="M32" s="9" t="n">
        <f aca="false">YEAR(B32)</f>
        <v>2026</v>
      </c>
      <c r="N32" s="9" t="str">
        <f aca="false">IF(TRIM(Raw_Data!I32&amp;"")="","Not Specified",TRIM(Raw_Data!I32))</f>
        <v>Card</v>
      </c>
      <c r="O32" s="9" t="str">
        <f aca="false">PROPER(TRIM(Raw_Data!J32))</f>
        <v>Completed</v>
      </c>
      <c r="P32" s="9" t="str">
        <f aca="false">IF(O32="Completed","Completed","Not Completed")</f>
        <v>Completed</v>
      </c>
    </row>
    <row r="33" customFormat="false" ht="15" hidden="false" customHeight="false" outlineLevel="0" collapsed="false">
      <c r="A33" s="9" t="str">
        <f aca="false">Raw_Data!A33</f>
        <v>ORD1003</v>
      </c>
      <c r="B33" s="10" t="n">
        <f aca="false">IF(ISNUMBER(Raw_Data!B33),Raw_Data!B33,DATE(VALUE(RIGHT(Raw_Data!B33,4)),VALUE(MID(Raw_Data!B33,4,2)),VALUE(LEFT(Raw_Data!B33,2))))</f>
        <v>46181</v>
      </c>
      <c r="C33" s="9" t="str">
        <f aca="false">IFERROR(INDEX($T$10:$T$11,MATCH(PROPER(TRIM(Raw_Data!C33)),$S$10:$S$11,0)),PROPER(TRIM(Raw_Data!C33)))</f>
        <v>Koramangala</v>
      </c>
      <c r="D33" s="9" t="str">
        <f aca="false">PROPER(TRIM(Raw_Data!D33))</f>
        <v>Frappe</v>
      </c>
      <c r="E33" s="9" t="str">
        <f aca="false">IFERROR(INDEX($T$6:$T$7,MATCH(PROPER(TRIM(Raw_Data!E33)),$S$6:$S$7,0)),PROPER(TRIM(Raw_Data!E33)))</f>
        <v>Cold Beverages</v>
      </c>
      <c r="F33" s="9" t="n">
        <f aca="false">IF(TRIM(Raw_Data!F33&amp;"")="",1,VALUE(Raw_Data!F33))</f>
        <v>2</v>
      </c>
      <c r="G33" s="13" t="n">
        <f aca="false">VALUE(Raw_Data!G33)</f>
        <v>240</v>
      </c>
      <c r="H33" s="13" t="n">
        <f aca="false">F33*G33</f>
        <v>480</v>
      </c>
      <c r="I33" s="13" t="n">
        <f aca="false">VALUE(Raw_Data!H33)</f>
        <v>210</v>
      </c>
      <c r="J33" s="13" t="n">
        <f aca="false">H33-I33</f>
        <v>270</v>
      </c>
      <c r="K33" s="14" t="n">
        <f aca="false">IFERROR(J33/H33,0)</f>
        <v>0.5625</v>
      </c>
      <c r="L33" s="9" t="str">
        <f aca="false">TEXT(B33,"MMM-YYYY")</f>
        <v>Jun-2026</v>
      </c>
      <c r="M33" s="9" t="n">
        <f aca="false">YEAR(B33)</f>
        <v>2026</v>
      </c>
      <c r="N33" s="9" t="str">
        <f aca="false">IF(TRIM(Raw_Data!I33&amp;"")="","Not Specified",TRIM(Raw_Data!I33))</f>
        <v>UPI</v>
      </c>
      <c r="O33" s="9" t="str">
        <f aca="false">PROPER(TRIM(Raw_Data!J33))</f>
        <v>Completed</v>
      </c>
      <c r="P33" s="9" t="str">
        <f aca="false">IF(O33="Completed","Completed","Not Completed")</f>
        <v>Completed</v>
      </c>
    </row>
    <row r="34" customFormat="false" ht="15" hidden="false" customHeight="false" outlineLevel="0" collapsed="false">
      <c r="A34" s="9" t="str">
        <f aca="false">Raw_Data!A34</f>
        <v>ORD1132</v>
      </c>
      <c r="B34" s="10" t="n">
        <f aca="false">IF(ISNUMBER(Raw_Data!B34),Raw_Data!B34,DATE(VALUE(RIGHT(Raw_Data!B34,4)),VALUE(MID(Raw_Data!B34,4,2)),VALUE(LEFT(Raw_Data!B34,2))))</f>
        <v>46221</v>
      </c>
      <c r="C34" s="9" t="str">
        <f aca="false">IFERROR(INDEX($T$10:$T$11,MATCH(PROPER(TRIM(Raw_Data!C34)),$S$10:$S$11,0)),PROPER(TRIM(Raw_Data!C34)))</f>
        <v>Koramangala</v>
      </c>
      <c r="D34" s="9" t="str">
        <f aca="false">PROPER(TRIM(Raw_Data!D34))</f>
        <v>Croissant</v>
      </c>
      <c r="E34" s="9" t="str">
        <f aca="false">IFERROR(INDEX($T$6:$T$7,MATCH(PROPER(TRIM(Raw_Data!E34)),$S$6:$S$7,0)),PROPER(TRIM(Raw_Data!E34)))</f>
        <v>Bakery</v>
      </c>
      <c r="F34" s="9" t="n">
        <f aca="false">IF(TRIM(Raw_Data!F34&amp;"")="",1,VALUE(Raw_Data!F34))</f>
        <v>1</v>
      </c>
      <c r="G34" s="13" t="n">
        <f aca="false">VALUE(Raw_Data!G34)</f>
        <v>140</v>
      </c>
      <c r="H34" s="13" t="n">
        <f aca="false">F34*G34</f>
        <v>140</v>
      </c>
      <c r="I34" s="13" t="n">
        <f aca="false">VALUE(Raw_Data!H34)</f>
        <v>57</v>
      </c>
      <c r="J34" s="13" t="n">
        <f aca="false">H34-I34</f>
        <v>83</v>
      </c>
      <c r="K34" s="14" t="n">
        <f aca="false">IFERROR(J34/H34,0)</f>
        <v>0.592857142857143</v>
      </c>
      <c r="L34" s="9" t="str">
        <f aca="false">TEXT(B34,"MMM-YYYY")</f>
        <v>Jul-2026</v>
      </c>
      <c r="M34" s="9" t="n">
        <f aca="false">YEAR(B34)</f>
        <v>2026</v>
      </c>
      <c r="N34" s="9" t="str">
        <f aca="false">IF(TRIM(Raw_Data!I34&amp;"")="","Not Specified",TRIM(Raw_Data!I34))</f>
        <v>Cash</v>
      </c>
      <c r="O34" s="9" t="str">
        <f aca="false">PROPER(TRIM(Raw_Data!J34))</f>
        <v>Completed</v>
      </c>
      <c r="P34" s="9" t="str">
        <f aca="false">IF(O34="Completed","Completed","Not Completed")</f>
        <v>Completed</v>
      </c>
    </row>
    <row r="35" customFormat="false" ht="15" hidden="false" customHeight="false" outlineLevel="0" collapsed="false">
      <c r="A35" s="9" t="str">
        <f aca="false">Raw_Data!A35</f>
        <v>ORD1020</v>
      </c>
      <c r="B35" s="10" t="n">
        <f aca="false">IF(ISNUMBER(Raw_Data!B35),Raw_Data!B35,DATE(VALUE(RIGHT(Raw_Data!B35,4)),VALUE(MID(Raw_Data!B35,4,2)),VALUE(LEFT(Raw_Data!B35,2))))</f>
        <v>46200</v>
      </c>
      <c r="C35" s="9" t="str">
        <f aca="false">IFERROR(INDEX($T$10:$T$11,MATCH(PROPER(TRIM(Raw_Data!C35)),$S$10:$S$11,0)),PROPER(TRIM(Raw_Data!C35)))</f>
        <v>HSR Layout</v>
      </c>
      <c r="D35" s="9" t="str">
        <f aca="false">PROPER(TRIM(Raw_Data!D35))</f>
        <v>Cold Brew</v>
      </c>
      <c r="E35" s="9" t="str">
        <f aca="false">IFERROR(INDEX($T$6:$T$7,MATCH(PROPER(TRIM(Raw_Data!E35)),$S$6:$S$7,0)),PROPER(TRIM(Raw_Data!E35)))</f>
        <v>Cold Beverages</v>
      </c>
      <c r="F35" s="9" t="n">
        <f aca="false">IF(TRIM(Raw_Data!F35&amp;"")="",1,VALUE(Raw_Data!F35))</f>
        <v>1</v>
      </c>
      <c r="G35" s="13" t="n">
        <f aca="false">VALUE(Raw_Data!G35)</f>
        <v>220</v>
      </c>
      <c r="H35" s="13" t="n">
        <f aca="false">F35*G35</f>
        <v>220</v>
      </c>
      <c r="I35" s="13" t="n">
        <f aca="false">VALUE(Raw_Data!H35)</f>
        <v>97</v>
      </c>
      <c r="J35" s="13" t="n">
        <f aca="false">H35-I35</f>
        <v>123</v>
      </c>
      <c r="K35" s="14" t="n">
        <f aca="false">IFERROR(J35/H35,0)</f>
        <v>0.559090909090909</v>
      </c>
      <c r="L35" s="9" t="str">
        <f aca="false">TEXT(B35,"MMM-YYYY")</f>
        <v>Jun-2026</v>
      </c>
      <c r="M35" s="9" t="n">
        <f aca="false">YEAR(B35)</f>
        <v>2026</v>
      </c>
      <c r="N35" s="9" t="str">
        <f aca="false">IF(TRIM(Raw_Data!I35&amp;"")="","Not Specified",TRIM(Raw_Data!I35))</f>
        <v>UPI</v>
      </c>
      <c r="O35" s="9" t="str">
        <f aca="false">PROPER(TRIM(Raw_Data!J35))</f>
        <v>Completed</v>
      </c>
      <c r="P35" s="9" t="str">
        <f aca="false">IF(O35="Completed","Completed","Not Completed")</f>
        <v>Completed</v>
      </c>
    </row>
    <row r="36" customFormat="false" ht="15" hidden="false" customHeight="false" outlineLevel="0" collapsed="false">
      <c r="A36" s="9" t="str">
        <f aca="false">Raw_Data!A36</f>
        <v>ORD1144</v>
      </c>
      <c r="B36" s="10" t="n">
        <f aca="false">IF(ISNUMBER(Raw_Data!B36),Raw_Data!B36,DATE(VALUE(RIGHT(Raw_Data!B36,4)),VALUE(MID(Raw_Data!B36,4,2)),VALUE(LEFT(Raw_Data!B36,2))))</f>
        <v>46223</v>
      </c>
      <c r="C36" s="9" t="str">
        <f aca="false">IFERROR(INDEX($T$10:$T$11,MATCH(PROPER(TRIM(Raw_Data!C36)),$S$10:$S$11,0)),PROPER(TRIM(Raw_Data!C36)))</f>
        <v>HSR Layout</v>
      </c>
      <c r="D36" s="9" t="str">
        <f aca="false">PROPER(TRIM(Raw_Data!D36))</f>
        <v>Iced Latte</v>
      </c>
      <c r="E36" s="9" t="str">
        <f aca="false">IFERROR(INDEX($T$6:$T$7,MATCH(PROPER(TRIM(Raw_Data!E36)),$S$6:$S$7,0)),PROPER(TRIM(Raw_Data!E36)))</f>
        <v>Cold Beverages</v>
      </c>
      <c r="F36" s="9" t="n">
        <f aca="false">IF(TRIM(Raw_Data!F36&amp;"")="",1,VALUE(Raw_Data!F36))</f>
        <v>1</v>
      </c>
      <c r="G36" s="13" t="n">
        <f aca="false">VALUE(Raw_Data!G36)</f>
        <v>200</v>
      </c>
      <c r="H36" s="13" t="n">
        <f aca="false">F36*G36</f>
        <v>200</v>
      </c>
      <c r="I36" s="13" t="n">
        <f aca="false">VALUE(Raw_Data!H36)</f>
        <v>93</v>
      </c>
      <c r="J36" s="13" t="n">
        <f aca="false">H36-I36</f>
        <v>107</v>
      </c>
      <c r="K36" s="14" t="n">
        <f aca="false">IFERROR(J36/H36,0)</f>
        <v>0.535</v>
      </c>
      <c r="L36" s="9" t="str">
        <f aca="false">TEXT(B36,"MMM-YYYY")</f>
        <v>Jul-2026</v>
      </c>
      <c r="M36" s="9" t="n">
        <f aca="false">YEAR(B36)</f>
        <v>2026</v>
      </c>
      <c r="N36" s="9" t="str">
        <f aca="false">IF(TRIM(Raw_Data!I36&amp;"")="","Not Specified",TRIM(Raw_Data!I36))</f>
        <v>UPI</v>
      </c>
      <c r="O36" s="9" t="str">
        <f aca="false">PROPER(TRIM(Raw_Data!J36))</f>
        <v>Cancelled</v>
      </c>
      <c r="P36" s="9" t="str">
        <f aca="false">IF(O36="Completed","Completed","Not Completed")</f>
        <v>Not Completed</v>
      </c>
    </row>
    <row r="37" customFormat="false" ht="15" hidden="false" customHeight="false" outlineLevel="0" collapsed="false">
      <c r="A37" s="9" t="str">
        <f aca="false">Raw_Data!A38</f>
        <v>ORD1023</v>
      </c>
      <c r="B37" s="10" t="n">
        <f aca="false">IF(ISNUMBER(Raw_Data!B38),Raw_Data!B38,DATE(VALUE(RIGHT(Raw_Data!B38,4)),VALUE(MID(Raw_Data!B38,4,2)),VALUE(LEFT(Raw_Data!B38,2))))</f>
        <v>46233</v>
      </c>
      <c r="C37" s="9" t="str">
        <f aca="false">IFERROR(INDEX($T$10:$T$11,MATCH(PROPER(TRIM(Raw_Data!C38)),$S$10:$S$11,0)),PROPER(TRIM(Raw_Data!C38)))</f>
        <v>HSR Layout</v>
      </c>
      <c r="D37" s="9" t="str">
        <f aca="false">PROPER(TRIM(Raw_Data!D38))</f>
        <v>Garlic Bread</v>
      </c>
      <c r="E37" s="9" t="str">
        <f aca="false">IFERROR(INDEX($T$6:$T$7,MATCH(PROPER(TRIM(Raw_Data!E38)),$S$6:$S$7,0)),PROPER(TRIM(Raw_Data!E38)))</f>
        <v>Snacks</v>
      </c>
      <c r="F37" s="9" t="n">
        <f aca="false">IF(TRIM(Raw_Data!F38&amp;"")="",1,VALUE(Raw_Data!F38))</f>
        <v>1</v>
      </c>
      <c r="G37" s="13" t="n">
        <f aca="false">VALUE(Raw_Data!G38)</f>
        <v>150</v>
      </c>
      <c r="H37" s="13" t="n">
        <f aca="false">F37*G37</f>
        <v>150</v>
      </c>
      <c r="I37" s="13" t="n">
        <f aca="false">VALUE(Raw_Data!H38)</f>
        <v>66</v>
      </c>
      <c r="J37" s="13" t="n">
        <f aca="false">H37-I37</f>
        <v>84</v>
      </c>
      <c r="K37" s="14" t="n">
        <f aca="false">IFERROR(J37/H37,0)</f>
        <v>0.56</v>
      </c>
      <c r="L37" s="9" t="str">
        <f aca="false">TEXT(B37,"MMM-YYYY")</f>
        <v>Jul-2026</v>
      </c>
      <c r="M37" s="9" t="n">
        <f aca="false">YEAR(B37)</f>
        <v>2026</v>
      </c>
      <c r="N37" s="9" t="str">
        <f aca="false">IF(TRIM(Raw_Data!I38&amp;"")="","Not Specified",TRIM(Raw_Data!I38))</f>
        <v>Cash</v>
      </c>
      <c r="O37" s="9" t="str">
        <f aca="false">PROPER(TRIM(Raw_Data!J38))</f>
        <v>Completed</v>
      </c>
      <c r="P37" s="9" t="str">
        <f aca="false">IF(O37="Completed","Completed","Not Completed")</f>
        <v>Completed</v>
      </c>
    </row>
    <row r="38" customFormat="false" ht="15" hidden="false" customHeight="false" outlineLevel="0" collapsed="false">
      <c r="A38" s="9" t="str">
        <f aca="false">Raw_Data!A39</f>
        <v>ORD1103</v>
      </c>
      <c r="B38" s="10" t="n">
        <f aca="false">IF(ISNUMBER(Raw_Data!B39),Raw_Data!B39,DATE(VALUE(RIGHT(Raw_Data!B39,4)),VALUE(MID(Raw_Data!B39,4,2)),VALUE(LEFT(Raw_Data!B39,2))))</f>
        <v>46186</v>
      </c>
      <c r="C38" s="9" t="str">
        <f aca="false">IFERROR(INDEX($T$10:$T$11,MATCH(PROPER(TRIM(Raw_Data!C39)),$S$10:$S$11,0)),PROPER(TRIM(Raw_Data!C39)))</f>
        <v>Koramangala</v>
      </c>
      <c r="D38" s="9" t="str">
        <f aca="false">PROPER(TRIM(Raw_Data!D39))</f>
        <v>Croissant</v>
      </c>
      <c r="E38" s="9" t="str">
        <f aca="false">IFERROR(INDEX($T$6:$T$7,MATCH(PROPER(TRIM(Raw_Data!E39)),$S$6:$S$7,0)),PROPER(TRIM(Raw_Data!E39)))</f>
        <v>Bakery</v>
      </c>
      <c r="F38" s="9" t="n">
        <f aca="false">IF(TRIM(Raw_Data!F39&amp;"")="",1,VALUE(Raw_Data!F39))</f>
        <v>2</v>
      </c>
      <c r="G38" s="13" t="n">
        <f aca="false">VALUE(Raw_Data!G39)</f>
        <v>140</v>
      </c>
      <c r="H38" s="13" t="n">
        <f aca="false">F38*G38</f>
        <v>280</v>
      </c>
      <c r="I38" s="13" t="n">
        <f aca="false">VALUE(Raw_Data!H39)</f>
        <v>132</v>
      </c>
      <c r="J38" s="13" t="n">
        <f aca="false">H38-I38</f>
        <v>148</v>
      </c>
      <c r="K38" s="14" t="n">
        <f aca="false">IFERROR(J38/H38,0)</f>
        <v>0.528571428571429</v>
      </c>
      <c r="L38" s="9" t="str">
        <f aca="false">TEXT(B38,"MMM-YYYY")</f>
        <v>Jun-2026</v>
      </c>
      <c r="M38" s="9" t="n">
        <f aca="false">YEAR(B38)</f>
        <v>2026</v>
      </c>
      <c r="N38" s="9" t="str">
        <f aca="false">IF(TRIM(Raw_Data!I39&amp;"")="","Not Specified",TRIM(Raw_Data!I39))</f>
        <v>UPI</v>
      </c>
      <c r="O38" s="9" t="str">
        <f aca="false">PROPER(TRIM(Raw_Data!J39))</f>
        <v>Completed</v>
      </c>
      <c r="P38" s="9" t="str">
        <f aca="false">IF(O38="Completed","Completed","Not Completed")</f>
        <v>Completed</v>
      </c>
    </row>
    <row r="39" customFormat="false" ht="15" hidden="false" customHeight="false" outlineLevel="0" collapsed="false">
      <c r="A39" s="9" t="str">
        <f aca="false">Raw_Data!A40</f>
        <v>ORD1061</v>
      </c>
      <c r="B39" s="10" t="n">
        <f aca="false">IF(ISNUMBER(Raw_Data!B40),Raw_Data!B40,DATE(VALUE(RIGHT(Raw_Data!B40,4)),VALUE(MID(Raw_Data!B40,4,2)),VALUE(LEFT(Raw_Data!B40,2))))</f>
        <v>46255</v>
      </c>
      <c r="C39" s="9" t="str">
        <f aca="false">IFERROR(INDEX($T$10:$T$11,MATCH(PROPER(TRIM(Raw_Data!C40)),$S$10:$S$11,0)),PROPER(TRIM(Raw_Data!C40)))</f>
        <v>Indiranagar</v>
      </c>
      <c r="D39" s="9" t="str">
        <f aca="false">PROPER(TRIM(Raw_Data!D40))</f>
        <v>Danish Pastry</v>
      </c>
      <c r="E39" s="9" t="str">
        <f aca="false">IFERROR(INDEX($T$6:$T$7,MATCH(PROPER(TRIM(Raw_Data!E40)),$S$6:$S$7,0)),PROPER(TRIM(Raw_Data!E40)))</f>
        <v>Bakery</v>
      </c>
      <c r="F39" s="9" t="n">
        <f aca="false">IF(TRIM(Raw_Data!F40&amp;"")="",1,VALUE(Raw_Data!F40))</f>
        <v>4</v>
      </c>
      <c r="G39" s="13" t="n">
        <f aca="false">VALUE(Raw_Data!G40)</f>
        <v>160</v>
      </c>
      <c r="H39" s="13" t="n">
        <f aca="false">F39*G39</f>
        <v>640</v>
      </c>
      <c r="I39" s="13" t="n">
        <f aca="false">VALUE(Raw_Data!H40)</f>
        <v>331</v>
      </c>
      <c r="J39" s="13" t="n">
        <f aca="false">H39-I39</f>
        <v>309</v>
      </c>
      <c r="K39" s="14" t="n">
        <f aca="false">IFERROR(J39/H39,0)</f>
        <v>0.4828125</v>
      </c>
      <c r="L39" s="9" t="str">
        <f aca="false">TEXT(B39,"MMM-YYYY")</f>
        <v>Aug-2026</v>
      </c>
      <c r="M39" s="9" t="n">
        <f aca="false">YEAR(B39)</f>
        <v>2026</v>
      </c>
      <c r="N39" s="9" t="str">
        <f aca="false">IF(TRIM(Raw_Data!I40&amp;"")="","Not Specified",TRIM(Raw_Data!I40))</f>
        <v>Card</v>
      </c>
      <c r="O39" s="9" t="str">
        <f aca="false">PROPER(TRIM(Raw_Data!J40))</f>
        <v>Completed</v>
      </c>
      <c r="P39" s="9" t="str">
        <f aca="false">IF(O39="Completed","Completed","Not Completed")</f>
        <v>Completed</v>
      </c>
    </row>
    <row r="40" customFormat="false" ht="15" hidden="false" customHeight="false" outlineLevel="0" collapsed="false">
      <c r="A40" s="9" t="str">
        <f aca="false">Raw_Data!A41</f>
        <v>ORD1137</v>
      </c>
      <c r="B40" s="10" t="n">
        <f aca="false">IF(ISNUMBER(Raw_Data!B41),Raw_Data!B41,DATE(VALUE(RIGHT(Raw_Data!B41,4)),VALUE(MID(Raw_Data!B41,4,2)),VALUE(LEFT(Raw_Data!B41,2))))</f>
        <v>46178</v>
      </c>
      <c r="C40" s="9" t="str">
        <f aca="false">IFERROR(INDEX($T$10:$T$11,MATCH(PROPER(TRIM(Raw_Data!C41)),$S$10:$S$11,0)),PROPER(TRIM(Raw_Data!C41)))</f>
        <v>HSR Layout</v>
      </c>
      <c r="D40" s="9" t="str">
        <f aca="false">PROPER(TRIM(Raw_Data!D41))</f>
        <v>Garlic Bread</v>
      </c>
      <c r="E40" s="9" t="str">
        <f aca="false">IFERROR(INDEX($T$6:$T$7,MATCH(PROPER(TRIM(Raw_Data!E41)),$S$6:$S$7,0)),PROPER(TRIM(Raw_Data!E41)))</f>
        <v>Snacks</v>
      </c>
      <c r="F40" s="9" t="n">
        <f aca="false">IF(TRIM(Raw_Data!F41&amp;"")="",1,VALUE(Raw_Data!F41))</f>
        <v>1</v>
      </c>
      <c r="G40" s="13" t="n">
        <f aca="false">VALUE(Raw_Data!G41)</f>
        <v>150</v>
      </c>
      <c r="H40" s="13" t="n">
        <f aca="false">F40*G40</f>
        <v>150</v>
      </c>
      <c r="I40" s="13" t="n">
        <f aca="false">VALUE(Raw_Data!H41)</f>
        <v>65</v>
      </c>
      <c r="J40" s="13" t="n">
        <f aca="false">H40-I40</f>
        <v>85</v>
      </c>
      <c r="K40" s="14" t="n">
        <f aca="false">IFERROR(J40/H40,0)</f>
        <v>0.566666666666667</v>
      </c>
      <c r="L40" s="9" t="str">
        <f aca="false">TEXT(B40,"MMM-YYYY")</f>
        <v>Jun-2026</v>
      </c>
      <c r="M40" s="9" t="n">
        <f aca="false">YEAR(B40)</f>
        <v>2026</v>
      </c>
      <c r="N40" s="9" t="str">
        <f aca="false">IF(TRIM(Raw_Data!I41&amp;"")="","Not Specified",TRIM(Raw_Data!I41))</f>
        <v>UPI</v>
      </c>
      <c r="O40" s="9" t="str">
        <f aca="false">PROPER(TRIM(Raw_Data!J41))</f>
        <v>Completed</v>
      </c>
      <c r="P40" s="9" t="str">
        <f aca="false">IF(O40="Completed","Completed","Not Completed")</f>
        <v>Completed</v>
      </c>
    </row>
    <row r="41" customFormat="false" ht="15" hidden="false" customHeight="false" outlineLevel="0" collapsed="false">
      <c r="A41" s="9" t="str">
        <f aca="false">Raw_Data!A42</f>
        <v>ORD1169</v>
      </c>
      <c r="B41" s="10" t="n">
        <f aca="false">IF(ISNUMBER(Raw_Data!B42),Raw_Data!B42,DATE(VALUE(RIGHT(Raw_Data!B42,4)),VALUE(MID(Raw_Data!B42,4,2)),VALUE(LEFT(Raw_Data!B42,2))))</f>
        <v>46174</v>
      </c>
      <c r="C41" s="9" t="str">
        <f aca="false">IFERROR(INDEX($T$10:$T$11,MATCH(PROPER(TRIM(Raw_Data!C42)),$S$10:$S$11,0)),PROPER(TRIM(Raw_Data!C42)))</f>
        <v>Koramangala</v>
      </c>
      <c r="D41" s="9" t="str">
        <f aca="false">PROPER(TRIM(Raw_Data!D42))</f>
        <v>Latte</v>
      </c>
      <c r="E41" s="9" t="str">
        <f aca="false">IFERROR(INDEX($T$6:$T$7,MATCH(PROPER(TRIM(Raw_Data!E42)),$S$6:$S$7,0)),PROPER(TRIM(Raw_Data!E42)))</f>
        <v>Hot Beverages</v>
      </c>
      <c r="F41" s="9" t="n">
        <f aca="false">IF(TRIM(Raw_Data!F42&amp;"")="",1,VALUE(Raw_Data!F42))</f>
        <v>2</v>
      </c>
      <c r="G41" s="13" t="n">
        <f aca="false">VALUE(Raw_Data!G42)</f>
        <v>190</v>
      </c>
      <c r="H41" s="13" t="n">
        <f aca="false">F41*G41</f>
        <v>380</v>
      </c>
      <c r="I41" s="13" t="n">
        <f aca="false">VALUE(Raw_Data!H42)</f>
        <v>148</v>
      </c>
      <c r="J41" s="13" t="n">
        <f aca="false">H41-I41</f>
        <v>232</v>
      </c>
      <c r="K41" s="14" t="n">
        <f aca="false">IFERROR(J41/H41,0)</f>
        <v>0.610526315789474</v>
      </c>
      <c r="L41" s="9" t="str">
        <f aca="false">TEXT(B41,"MMM-YYYY")</f>
        <v>Jun-2026</v>
      </c>
      <c r="M41" s="9" t="n">
        <f aca="false">YEAR(B41)</f>
        <v>2026</v>
      </c>
      <c r="N41" s="9" t="str">
        <f aca="false">IF(TRIM(Raw_Data!I42&amp;"")="","Not Specified",TRIM(Raw_Data!I42))</f>
        <v>UPI</v>
      </c>
      <c r="O41" s="9" t="str">
        <f aca="false">PROPER(TRIM(Raw_Data!J42))</f>
        <v>Completed</v>
      </c>
      <c r="P41" s="9" t="str">
        <f aca="false">IF(O41="Completed","Completed","Not Completed")</f>
        <v>Completed</v>
      </c>
    </row>
    <row r="42" customFormat="false" ht="15" hidden="false" customHeight="false" outlineLevel="0" collapsed="false">
      <c r="A42" s="9" t="str">
        <f aca="false">Raw_Data!A43</f>
        <v>ORD1139</v>
      </c>
      <c r="B42" s="10" t="n">
        <f aca="false">IF(ISNUMBER(Raw_Data!B43),Raw_Data!B43,DATE(VALUE(RIGHT(Raw_Data!B43,4)),VALUE(MID(Raw_Data!B43,4,2)),VALUE(LEFT(Raw_Data!B43,2))))</f>
        <v>46227</v>
      </c>
      <c r="C42" s="9" t="str">
        <f aca="false">IFERROR(INDEX($T$10:$T$11,MATCH(PROPER(TRIM(Raw_Data!C43)),$S$10:$S$11,0)),PROPER(TRIM(Raw_Data!C43)))</f>
        <v>Koramangala</v>
      </c>
      <c r="D42" s="9" t="str">
        <f aca="false">PROPER(TRIM(Raw_Data!D43))</f>
        <v>Croissant</v>
      </c>
      <c r="E42" s="9" t="str">
        <f aca="false">IFERROR(INDEX($T$6:$T$7,MATCH(PROPER(TRIM(Raw_Data!E43)),$S$6:$S$7,0)),PROPER(TRIM(Raw_Data!E43)))</f>
        <v>Bakery</v>
      </c>
      <c r="F42" s="9" t="n">
        <f aca="false">IF(TRIM(Raw_Data!F43&amp;"")="",1,VALUE(Raw_Data!F43))</f>
        <v>2</v>
      </c>
      <c r="G42" s="13" t="n">
        <f aca="false">VALUE(Raw_Data!G43)</f>
        <v>140</v>
      </c>
      <c r="H42" s="13" t="n">
        <f aca="false">F42*G42</f>
        <v>280</v>
      </c>
      <c r="I42" s="13" t="n">
        <f aca="false">VALUE(Raw_Data!H43)</f>
        <v>142</v>
      </c>
      <c r="J42" s="13" t="n">
        <f aca="false">H42-I42</f>
        <v>138</v>
      </c>
      <c r="K42" s="14" t="n">
        <f aca="false">IFERROR(J42/H42,0)</f>
        <v>0.492857142857143</v>
      </c>
      <c r="L42" s="9" t="str">
        <f aca="false">TEXT(B42,"MMM-YYYY")</f>
        <v>Jul-2026</v>
      </c>
      <c r="M42" s="9" t="n">
        <f aca="false">YEAR(B42)</f>
        <v>2026</v>
      </c>
      <c r="N42" s="9" t="str">
        <f aca="false">IF(TRIM(Raw_Data!I43&amp;"")="","Not Specified",TRIM(Raw_Data!I43))</f>
        <v>UPI</v>
      </c>
      <c r="O42" s="9" t="str">
        <f aca="false">PROPER(TRIM(Raw_Data!J43))</f>
        <v>Completed</v>
      </c>
      <c r="P42" s="9" t="str">
        <f aca="false">IF(O42="Completed","Completed","Not Completed")</f>
        <v>Completed</v>
      </c>
    </row>
    <row r="43" customFormat="false" ht="15" hidden="false" customHeight="false" outlineLevel="0" collapsed="false">
      <c r="A43" s="9" t="str">
        <f aca="false">Raw_Data!A44</f>
        <v>ORD1055</v>
      </c>
      <c r="B43" s="10" t="n">
        <f aca="false">IF(ISNUMBER(Raw_Data!B44),Raw_Data!B44,DATE(VALUE(RIGHT(Raw_Data!B44,4)),VALUE(MID(Raw_Data!B44,4,2)),VALUE(LEFT(Raw_Data!B44,2))))</f>
        <v>46244</v>
      </c>
      <c r="C43" s="9" t="str">
        <f aca="false">IFERROR(INDEX($T$10:$T$11,MATCH(PROPER(TRIM(Raw_Data!C44)),$S$10:$S$11,0)),PROPER(TRIM(Raw_Data!C44)))</f>
        <v>HSR Layout</v>
      </c>
      <c r="D43" s="9" t="str">
        <f aca="false">PROPER(TRIM(Raw_Data!D44))</f>
        <v>Iced Tea</v>
      </c>
      <c r="E43" s="9" t="str">
        <f aca="false">IFERROR(INDEX($T$6:$T$7,MATCH(PROPER(TRIM(Raw_Data!E44)),$S$6:$S$7,0)),PROPER(TRIM(Raw_Data!E44)))</f>
        <v>Cold Beverages</v>
      </c>
      <c r="F43" s="9" t="n">
        <f aca="false">IF(TRIM(Raw_Data!F44&amp;"")="",1,VALUE(Raw_Data!F44))</f>
        <v>2</v>
      </c>
      <c r="G43" s="13" t="n">
        <f aca="false">VALUE(Raw_Data!G44)</f>
        <v>150</v>
      </c>
      <c r="H43" s="13" t="n">
        <f aca="false">F43*G43</f>
        <v>300</v>
      </c>
      <c r="I43" s="13" t="n">
        <f aca="false">VALUE(Raw_Data!H44)</f>
        <v>115</v>
      </c>
      <c r="J43" s="13" t="n">
        <f aca="false">H43-I43</f>
        <v>185</v>
      </c>
      <c r="K43" s="14" t="n">
        <f aca="false">IFERROR(J43/H43,0)</f>
        <v>0.616666666666667</v>
      </c>
      <c r="L43" s="9" t="str">
        <f aca="false">TEXT(B43,"MMM-YYYY")</f>
        <v>Aug-2026</v>
      </c>
      <c r="M43" s="9" t="n">
        <f aca="false">YEAR(B43)</f>
        <v>2026</v>
      </c>
      <c r="N43" s="9" t="str">
        <f aca="false">IF(TRIM(Raw_Data!I44&amp;"")="","Not Specified",TRIM(Raw_Data!I44))</f>
        <v>Cash</v>
      </c>
      <c r="O43" s="9" t="str">
        <f aca="false">PROPER(TRIM(Raw_Data!J44))</f>
        <v>Cancelled</v>
      </c>
      <c r="P43" s="9" t="str">
        <f aca="false">IF(O43="Completed","Completed","Not Completed")</f>
        <v>Not Completed</v>
      </c>
    </row>
    <row r="44" customFormat="false" ht="15" hidden="false" customHeight="false" outlineLevel="0" collapsed="false">
      <c r="A44" s="9" t="str">
        <f aca="false">Raw_Data!A45</f>
        <v>ORD1177</v>
      </c>
      <c r="B44" s="10" t="n">
        <f aca="false">IF(ISNUMBER(Raw_Data!B45),Raw_Data!B45,DATE(VALUE(RIGHT(Raw_Data!B45,4)),VALUE(MID(Raw_Data!B45,4,2)),VALUE(LEFT(Raw_Data!B45,2))))</f>
        <v>46215</v>
      </c>
      <c r="C44" s="9" t="str">
        <f aca="false">IFERROR(INDEX($T$10:$T$11,MATCH(PROPER(TRIM(Raw_Data!C45)),$S$10:$S$11,0)),PROPER(TRIM(Raw_Data!C45)))</f>
        <v>Indiranagar</v>
      </c>
      <c r="D44" s="9" t="str">
        <f aca="false">PROPER(TRIM(Raw_Data!D45))</f>
        <v>Danish Pastry</v>
      </c>
      <c r="E44" s="9" t="str">
        <f aca="false">IFERROR(INDEX($T$6:$T$7,MATCH(PROPER(TRIM(Raw_Data!E45)),$S$6:$S$7,0)),PROPER(TRIM(Raw_Data!E45)))</f>
        <v>Bakery</v>
      </c>
      <c r="F44" s="9" t="n">
        <f aca="false">IF(TRIM(Raw_Data!F45&amp;"")="",1,VALUE(Raw_Data!F45))</f>
        <v>1</v>
      </c>
      <c r="G44" s="13" t="n">
        <f aca="false">VALUE(Raw_Data!G45)</f>
        <v>160</v>
      </c>
      <c r="H44" s="13" t="n">
        <f aca="false">F44*G44</f>
        <v>160</v>
      </c>
      <c r="I44" s="13" t="n">
        <f aca="false">VALUE(Raw_Data!H45)</f>
        <v>69</v>
      </c>
      <c r="J44" s="13" t="n">
        <f aca="false">H44-I44</f>
        <v>91</v>
      </c>
      <c r="K44" s="14" t="n">
        <f aca="false">IFERROR(J44/H44,0)</f>
        <v>0.56875</v>
      </c>
      <c r="L44" s="9" t="str">
        <f aca="false">TEXT(B44,"MMM-YYYY")</f>
        <v>Jul-2026</v>
      </c>
      <c r="M44" s="9" t="n">
        <f aca="false">YEAR(B44)</f>
        <v>2026</v>
      </c>
      <c r="N44" s="9" t="str">
        <f aca="false">IF(TRIM(Raw_Data!I45&amp;"")="","Not Specified",TRIM(Raw_Data!I45))</f>
        <v>Card</v>
      </c>
      <c r="O44" s="9" t="str">
        <f aca="false">PROPER(TRIM(Raw_Data!J45))</f>
        <v>Completed</v>
      </c>
      <c r="P44" s="9" t="str">
        <f aca="false">IF(O44="Completed","Completed","Not Completed")</f>
        <v>Completed</v>
      </c>
    </row>
    <row r="45" customFormat="false" ht="15" hidden="false" customHeight="false" outlineLevel="0" collapsed="false">
      <c r="A45" s="9" t="str">
        <f aca="false">Raw_Data!A46</f>
        <v>ORD1112</v>
      </c>
      <c r="B45" s="10" t="n">
        <f aca="false">IF(ISNUMBER(Raw_Data!B46),Raw_Data!B46,DATE(VALUE(RIGHT(Raw_Data!B46,4)),VALUE(MID(Raw_Data!B46,4,2)),VALUE(LEFT(Raw_Data!B46,2))))</f>
        <v>46264</v>
      </c>
      <c r="C45" s="9" t="str">
        <f aca="false">IFERROR(INDEX($T$10:$T$11,MATCH(PROPER(TRIM(Raw_Data!C46)),$S$10:$S$11,0)),PROPER(TRIM(Raw_Data!C46)))</f>
        <v>Koramangala</v>
      </c>
      <c r="D45" s="9" t="str">
        <f aca="false">PROPER(TRIM(Raw_Data!D46))</f>
        <v>Cold Brew</v>
      </c>
      <c r="E45" s="9" t="str">
        <f aca="false">IFERROR(INDEX($T$6:$T$7,MATCH(PROPER(TRIM(Raw_Data!E46)),$S$6:$S$7,0)),PROPER(TRIM(Raw_Data!E46)))</f>
        <v>Cold Beverages</v>
      </c>
      <c r="F45" s="9" t="n">
        <f aca="false">IF(TRIM(Raw_Data!F46&amp;"")="",1,VALUE(Raw_Data!F46))</f>
        <v>1</v>
      </c>
      <c r="G45" s="13" t="n">
        <f aca="false">VALUE(Raw_Data!G46)</f>
        <v>220</v>
      </c>
      <c r="H45" s="13" t="n">
        <f aca="false">F45*G45</f>
        <v>220</v>
      </c>
      <c r="I45" s="13" t="n">
        <f aca="false">VALUE(Raw_Data!H46)</f>
        <v>103</v>
      </c>
      <c r="J45" s="13" t="n">
        <f aca="false">H45-I45</f>
        <v>117</v>
      </c>
      <c r="K45" s="14" t="n">
        <f aca="false">IFERROR(J45/H45,0)</f>
        <v>0.531818181818182</v>
      </c>
      <c r="L45" s="9" t="str">
        <f aca="false">TEXT(B45,"MMM-YYYY")</f>
        <v>Aug-2026</v>
      </c>
      <c r="M45" s="9" t="n">
        <f aca="false">YEAR(B45)</f>
        <v>2026</v>
      </c>
      <c r="N45" s="9" t="str">
        <f aca="false">IF(TRIM(Raw_Data!I46&amp;"")="","Not Specified",TRIM(Raw_Data!I46))</f>
        <v>Card</v>
      </c>
      <c r="O45" s="9" t="str">
        <f aca="false">PROPER(TRIM(Raw_Data!J46))</f>
        <v>Completed</v>
      </c>
      <c r="P45" s="9" t="str">
        <f aca="false">IF(O45="Completed","Completed","Not Completed")</f>
        <v>Completed</v>
      </c>
    </row>
    <row r="46" customFormat="false" ht="15" hidden="false" customHeight="false" outlineLevel="0" collapsed="false">
      <c r="A46" s="9" t="str">
        <f aca="false">Raw_Data!A47</f>
        <v>ORD1115</v>
      </c>
      <c r="B46" s="10" t="n">
        <f aca="false">IF(ISNUMBER(Raw_Data!B47),Raw_Data!B47,DATE(VALUE(RIGHT(Raw_Data!B47,4)),VALUE(MID(Raw_Data!B47,4,2)),VALUE(LEFT(Raw_Data!B47,2))))</f>
        <v>46184</v>
      </c>
      <c r="C46" s="9" t="str">
        <f aca="false">IFERROR(INDEX($T$10:$T$11,MATCH(PROPER(TRIM(Raw_Data!C47)),$S$10:$S$11,0)),PROPER(TRIM(Raw_Data!C47)))</f>
        <v>Whitefield</v>
      </c>
      <c r="D46" s="9" t="str">
        <f aca="false">PROPER(TRIM(Raw_Data!D47))</f>
        <v>Sandwich</v>
      </c>
      <c r="E46" s="9" t="str">
        <f aca="false">IFERROR(INDEX($T$6:$T$7,MATCH(PROPER(TRIM(Raw_Data!E47)),$S$6:$S$7,0)),PROPER(TRIM(Raw_Data!E47)))</f>
        <v>Snacks</v>
      </c>
      <c r="F46" s="9" t="n">
        <f aca="false">IF(TRIM(Raw_Data!F47&amp;"")="",1,VALUE(Raw_Data!F47))</f>
        <v>4</v>
      </c>
      <c r="G46" s="13" t="n">
        <f aca="false">VALUE(Raw_Data!G47)</f>
        <v>190</v>
      </c>
      <c r="H46" s="13" t="n">
        <f aca="false">F46*G46</f>
        <v>760</v>
      </c>
      <c r="I46" s="13" t="n">
        <f aca="false">VALUE(Raw_Data!H47)</f>
        <v>331</v>
      </c>
      <c r="J46" s="13" t="n">
        <f aca="false">H46-I46</f>
        <v>429</v>
      </c>
      <c r="K46" s="14" t="n">
        <f aca="false">IFERROR(J46/H46,0)</f>
        <v>0.564473684210526</v>
      </c>
      <c r="L46" s="9" t="str">
        <f aca="false">TEXT(B46,"MMM-YYYY")</f>
        <v>Jun-2026</v>
      </c>
      <c r="M46" s="9" t="n">
        <f aca="false">YEAR(B46)</f>
        <v>2026</v>
      </c>
      <c r="N46" s="9" t="str">
        <f aca="false">IF(TRIM(Raw_Data!I47&amp;"")="","Not Specified",TRIM(Raw_Data!I47))</f>
        <v>Card</v>
      </c>
      <c r="O46" s="9" t="str">
        <f aca="false">PROPER(TRIM(Raw_Data!J47))</f>
        <v>Completed</v>
      </c>
      <c r="P46" s="9" t="str">
        <f aca="false">IF(O46="Completed","Completed","Not Completed")</f>
        <v>Completed</v>
      </c>
    </row>
    <row r="47" customFormat="false" ht="15" hidden="false" customHeight="false" outlineLevel="0" collapsed="false">
      <c r="A47" s="9" t="str">
        <f aca="false">Raw_Data!A48</f>
        <v>ORD1015</v>
      </c>
      <c r="B47" s="10" t="n">
        <f aca="false">IF(ISNUMBER(Raw_Data!B48),Raw_Data!B48,DATE(VALUE(RIGHT(Raw_Data!B48,4)),VALUE(MID(Raw_Data!B48,4,2)),VALUE(LEFT(Raw_Data!B48,2))))</f>
        <v>46229</v>
      </c>
      <c r="C47" s="9" t="str">
        <f aca="false">IFERROR(INDEX($T$10:$T$11,MATCH(PROPER(TRIM(Raw_Data!C48)),$S$10:$S$11,0)),PROPER(TRIM(Raw_Data!C48)))</f>
        <v>Whitefield</v>
      </c>
      <c r="D47" s="9" t="str">
        <f aca="false">PROPER(TRIM(Raw_Data!D48))</f>
        <v>Sandwich</v>
      </c>
      <c r="E47" s="9" t="str">
        <f aca="false">IFERROR(INDEX($T$6:$T$7,MATCH(PROPER(TRIM(Raw_Data!E48)),$S$6:$S$7,0)),PROPER(TRIM(Raw_Data!E48)))</f>
        <v>Snacks</v>
      </c>
      <c r="F47" s="9" t="n">
        <f aca="false">IF(TRIM(Raw_Data!F48&amp;"")="",1,VALUE(Raw_Data!F48))</f>
        <v>4</v>
      </c>
      <c r="G47" s="13" t="n">
        <f aca="false">VALUE(Raw_Data!G48)</f>
        <v>190</v>
      </c>
      <c r="H47" s="13" t="n">
        <f aca="false">F47*G47</f>
        <v>760</v>
      </c>
      <c r="I47" s="13" t="n">
        <f aca="false">VALUE(Raw_Data!H48)</f>
        <v>387</v>
      </c>
      <c r="J47" s="13" t="n">
        <f aca="false">H47-I47</f>
        <v>373</v>
      </c>
      <c r="K47" s="14" t="n">
        <f aca="false">IFERROR(J47/H47,0)</f>
        <v>0.490789473684211</v>
      </c>
      <c r="L47" s="9" t="str">
        <f aca="false">TEXT(B47,"MMM-YYYY")</f>
        <v>Jul-2026</v>
      </c>
      <c r="M47" s="9" t="n">
        <f aca="false">YEAR(B47)</f>
        <v>2026</v>
      </c>
      <c r="N47" s="9" t="str">
        <f aca="false">IF(TRIM(Raw_Data!I48&amp;"")="","Not Specified",TRIM(Raw_Data!I48))</f>
        <v>UPI</v>
      </c>
      <c r="O47" s="9" t="str">
        <f aca="false">PROPER(TRIM(Raw_Data!J48))</f>
        <v>Completed</v>
      </c>
      <c r="P47" s="9" t="str">
        <f aca="false">IF(O47="Completed","Completed","Not Completed")</f>
        <v>Completed</v>
      </c>
    </row>
    <row r="48" customFormat="false" ht="15" hidden="false" customHeight="false" outlineLevel="0" collapsed="false">
      <c r="A48" s="9" t="str">
        <f aca="false">Raw_Data!A49</f>
        <v>ORD1107</v>
      </c>
      <c r="B48" s="10" t="n">
        <f aca="false">IF(ISNUMBER(Raw_Data!B49),Raw_Data!B49,DATE(VALUE(RIGHT(Raw_Data!B49,4)),VALUE(MID(Raw_Data!B49,4,2)),VALUE(LEFT(Raw_Data!B49,2))))</f>
        <v>46203</v>
      </c>
      <c r="C48" s="9" t="str">
        <f aca="false">IFERROR(INDEX($T$10:$T$11,MATCH(PROPER(TRIM(Raw_Data!C49)),$S$10:$S$11,0)),PROPER(TRIM(Raw_Data!C49)))</f>
        <v>HSR Layout</v>
      </c>
      <c r="D48" s="9" t="str">
        <f aca="false">PROPER(TRIM(Raw_Data!D49))</f>
        <v>Brownie</v>
      </c>
      <c r="E48" s="9" t="str">
        <f aca="false">IFERROR(INDEX($T$6:$T$7,MATCH(PROPER(TRIM(Raw_Data!E49)),$S$6:$S$7,0)),PROPER(TRIM(Raw_Data!E49)))</f>
        <v>Bakery</v>
      </c>
      <c r="F48" s="9" t="n">
        <f aca="false">IF(TRIM(Raw_Data!F49&amp;"")="",1,VALUE(Raw_Data!F49))</f>
        <v>1</v>
      </c>
      <c r="G48" s="13" t="n">
        <f aca="false">VALUE(Raw_Data!G49)</f>
        <v>150</v>
      </c>
      <c r="H48" s="13" t="n">
        <f aca="false">F48*G48</f>
        <v>150</v>
      </c>
      <c r="I48" s="13" t="n">
        <f aca="false">VALUE(Raw_Data!H49)</f>
        <v>61</v>
      </c>
      <c r="J48" s="13" t="n">
        <f aca="false">H48-I48</f>
        <v>89</v>
      </c>
      <c r="K48" s="14" t="n">
        <f aca="false">IFERROR(J48/H48,0)</f>
        <v>0.593333333333333</v>
      </c>
      <c r="L48" s="9" t="str">
        <f aca="false">TEXT(B48,"MMM-YYYY")</f>
        <v>Jun-2026</v>
      </c>
      <c r="M48" s="9" t="n">
        <f aca="false">YEAR(B48)</f>
        <v>2026</v>
      </c>
      <c r="N48" s="9" t="str">
        <f aca="false">IF(TRIM(Raw_Data!I49&amp;"")="","Not Specified",TRIM(Raw_Data!I49))</f>
        <v>Not Specified</v>
      </c>
      <c r="O48" s="9" t="str">
        <f aca="false">PROPER(TRIM(Raw_Data!J49))</f>
        <v>Completed</v>
      </c>
      <c r="P48" s="9" t="str">
        <f aca="false">IF(O48="Completed","Completed","Not Completed")</f>
        <v>Completed</v>
      </c>
    </row>
    <row r="49" customFormat="false" ht="15" hidden="false" customHeight="false" outlineLevel="0" collapsed="false">
      <c r="A49" s="9" t="str">
        <f aca="false">Raw_Data!A50</f>
        <v>ORD1086</v>
      </c>
      <c r="B49" s="10" t="n">
        <f aca="false">IF(ISNUMBER(Raw_Data!B50),Raw_Data!B50,DATE(VALUE(RIGHT(Raw_Data!B50,4)),VALUE(MID(Raw_Data!B50,4,2)),VALUE(LEFT(Raw_Data!B50,2))))</f>
        <v>46183</v>
      </c>
      <c r="C49" s="9" t="str">
        <f aca="false">IFERROR(INDEX($T$10:$T$11,MATCH(PROPER(TRIM(Raw_Data!C50)),$S$10:$S$11,0)),PROPER(TRIM(Raw_Data!C50)))</f>
        <v>Whitefield</v>
      </c>
      <c r="D49" s="9" t="str">
        <f aca="false">PROPER(TRIM(Raw_Data!D50))</f>
        <v>Sandwich</v>
      </c>
      <c r="E49" s="9" t="str">
        <f aca="false">IFERROR(INDEX($T$6:$T$7,MATCH(PROPER(TRIM(Raw_Data!E50)),$S$6:$S$7,0)),PROPER(TRIM(Raw_Data!E50)))</f>
        <v>Snacks</v>
      </c>
      <c r="F49" s="9" t="n">
        <f aca="false">IF(TRIM(Raw_Data!F50&amp;"")="",1,VALUE(Raw_Data!F50))</f>
        <v>2</v>
      </c>
      <c r="G49" s="13" t="n">
        <f aca="false">VALUE(Raw_Data!G50)</f>
        <v>190</v>
      </c>
      <c r="H49" s="13" t="n">
        <f aca="false">F49*G49</f>
        <v>380</v>
      </c>
      <c r="I49" s="13" t="n">
        <f aca="false">VALUE(Raw_Data!H50)</f>
        <v>202</v>
      </c>
      <c r="J49" s="13" t="n">
        <f aca="false">H49-I49</f>
        <v>178</v>
      </c>
      <c r="K49" s="14" t="n">
        <f aca="false">IFERROR(J49/H49,0)</f>
        <v>0.468421052631579</v>
      </c>
      <c r="L49" s="9" t="str">
        <f aca="false">TEXT(B49,"MMM-YYYY")</f>
        <v>Jun-2026</v>
      </c>
      <c r="M49" s="9" t="n">
        <f aca="false">YEAR(B49)</f>
        <v>2026</v>
      </c>
      <c r="N49" s="9" t="str">
        <f aca="false">IF(TRIM(Raw_Data!I50&amp;"")="","Not Specified",TRIM(Raw_Data!I50))</f>
        <v>UPI</v>
      </c>
      <c r="O49" s="9" t="str">
        <f aca="false">PROPER(TRIM(Raw_Data!J50))</f>
        <v>Completed</v>
      </c>
      <c r="P49" s="9" t="str">
        <f aca="false">IF(O49="Completed","Completed","Not Completed")</f>
        <v>Completed</v>
      </c>
    </row>
    <row r="50" customFormat="false" ht="15" hidden="false" customHeight="false" outlineLevel="0" collapsed="false">
      <c r="A50" s="9" t="str">
        <f aca="false">Raw_Data!A51</f>
        <v>ORD1168</v>
      </c>
      <c r="B50" s="10" t="n">
        <f aca="false">IF(ISNUMBER(Raw_Data!B51),Raw_Data!B51,DATE(VALUE(RIGHT(Raw_Data!B51,4)),VALUE(MID(Raw_Data!B51,4,2)),VALUE(LEFT(Raw_Data!B51,2))))</f>
        <v>46245</v>
      </c>
      <c r="C50" s="9" t="str">
        <f aca="false">IFERROR(INDEX($T$10:$T$11,MATCH(PROPER(TRIM(Raw_Data!C51)),$S$10:$S$11,0)),PROPER(TRIM(Raw_Data!C51)))</f>
        <v>Whitefield</v>
      </c>
      <c r="D50" s="9" t="str">
        <f aca="false">PROPER(TRIM(Raw_Data!D51))</f>
        <v>Veg Puff</v>
      </c>
      <c r="E50" s="9" t="str">
        <f aca="false">IFERROR(INDEX($T$6:$T$7,MATCH(PROPER(TRIM(Raw_Data!E51)),$S$6:$S$7,0)),PROPER(TRIM(Raw_Data!E51)))</f>
        <v>Snacks</v>
      </c>
      <c r="F50" s="9" t="n">
        <f aca="false">IF(TRIM(Raw_Data!F51&amp;"")="",1,VALUE(Raw_Data!F51))</f>
        <v>2</v>
      </c>
      <c r="G50" s="13" t="n">
        <f aca="false">VALUE(Raw_Data!G51)</f>
        <v>80</v>
      </c>
      <c r="H50" s="13" t="n">
        <f aca="false">F50*G50</f>
        <v>160</v>
      </c>
      <c r="I50" s="13" t="n">
        <f aca="false">VALUE(Raw_Data!H51)</f>
        <v>78</v>
      </c>
      <c r="J50" s="13" t="n">
        <f aca="false">H50-I50</f>
        <v>82</v>
      </c>
      <c r="K50" s="14" t="n">
        <f aca="false">IFERROR(J50/H50,0)</f>
        <v>0.5125</v>
      </c>
      <c r="L50" s="9" t="str">
        <f aca="false">TEXT(B50,"MMM-YYYY")</f>
        <v>Aug-2026</v>
      </c>
      <c r="M50" s="9" t="n">
        <f aca="false">YEAR(B50)</f>
        <v>2026</v>
      </c>
      <c r="N50" s="9" t="str">
        <f aca="false">IF(TRIM(Raw_Data!I51&amp;"")="","Not Specified",TRIM(Raw_Data!I51))</f>
        <v>UPI</v>
      </c>
      <c r="O50" s="9" t="str">
        <f aca="false">PROPER(TRIM(Raw_Data!J51))</f>
        <v>Completed</v>
      </c>
      <c r="P50" s="9" t="str">
        <f aca="false">IF(O50="Completed","Completed","Not Completed")</f>
        <v>Completed</v>
      </c>
    </row>
    <row r="51" customFormat="false" ht="15" hidden="false" customHeight="false" outlineLevel="0" collapsed="false">
      <c r="A51" s="9" t="str">
        <f aca="false">Raw_Data!A52</f>
        <v>ORD1196</v>
      </c>
      <c r="B51" s="10" t="n">
        <f aca="false">IF(ISNUMBER(Raw_Data!B52),Raw_Data!B52,DATE(VALUE(RIGHT(Raw_Data!B52,4)),VALUE(MID(Raw_Data!B52,4,2)),VALUE(LEFT(Raw_Data!B52,2))))</f>
        <v>46244</v>
      </c>
      <c r="C51" s="9" t="str">
        <f aca="false">IFERROR(INDEX($T$10:$T$11,MATCH(PROPER(TRIM(Raw_Data!C52)),$S$10:$S$11,0)),PROPER(TRIM(Raw_Data!C52)))</f>
        <v>Whitefield</v>
      </c>
      <c r="D51" s="9" t="str">
        <f aca="false">PROPER(TRIM(Raw_Data!D52))</f>
        <v>Cold Brew</v>
      </c>
      <c r="E51" s="9" t="str">
        <f aca="false">IFERROR(INDEX($T$6:$T$7,MATCH(PROPER(TRIM(Raw_Data!E52)),$S$6:$S$7,0)),PROPER(TRIM(Raw_Data!E52)))</f>
        <v>Cold Beverages</v>
      </c>
      <c r="F51" s="9" t="n">
        <f aca="false">IF(TRIM(Raw_Data!F52&amp;"")="",1,VALUE(Raw_Data!F52))</f>
        <v>2</v>
      </c>
      <c r="G51" s="13" t="n">
        <f aca="false">VALUE(Raw_Data!G52)</f>
        <v>220</v>
      </c>
      <c r="H51" s="13" t="n">
        <f aca="false">F51*G51</f>
        <v>440</v>
      </c>
      <c r="I51" s="13" t="n">
        <f aca="false">VALUE(Raw_Data!H52)</f>
        <v>198</v>
      </c>
      <c r="J51" s="13" t="n">
        <f aca="false">H51-I51</f>
        <v>242</v>
      </c>
      <c r="K51" s="14" t="n">
        <f aca="false">IFERROR(J51/H51,0)</f>
        <v>0.55</v>
      </c>
      <c r="L51" s="9" t="str">
        <f aca="false">TEXT(B51,"MMM-YYYY")</f>
        <v>Aug-2026</v>
      </c>
      <c r="M51" s="9" t="n">
        <f aca="false">YEAR(B51)</f>
        <v>2026</v>
      </c>
      <c r="N51" s="9" t="str">
        <f aca="false">IF(TRIM(Raw_Data!I52&amp;"")="","Not Specified",TRIM(Raw_Data!I52))</f>
        <v>UPI</v>
      </c>
      <c r="O51" s="9" t="str">
        <f aca="false">PROPER(TRIM(Raw_Data!J52))</f>
        <v>Completed</v>
      </c>
      <c r="P51" s="9" t="str">
        <f aca="false">IF(O51="Completed","Completed","Not Completed")</f>
        <v>Completed</v>
      </c>
    </row>
    <row r="52" customFormat="false" ht="15" hidden="false" customHeight="false" outlineLevel="0" collapsed="false">
      <c r="A52" s="9" t="str">
        <f aca="false">Raw_Data!A53</f>
        <v>ORD1027</v>
      </c>
      <c r="B52" s="10" t="n">
        <f aca="false">IF(ISNUMBER(Raw_Data!B53),Raw_Data!B53,DATE(VALUE(RIGHT(Raw_Data!B53,4)),VALUE(MID(Raw_Data!B53,4,2)),VALUE(LEFT(Raw_Data!B53,2))))</f>
        <v>46255</v>
      </c>
      <c r="C52" s="9" t="str">
        <f aca="false">IFERROR(INDEX($T$10:$T$11,MATCH(PROPER(TRIM(Raw_Data!C53)),$S$10:$S$11,0)),PROPER(TRIM(Raw_Data!C53)))</f>
        <v>Indiranagar</v>
      </c>
      <c r="D52" s="9" t="str">
        <f aca="false">PROPER(TRIM(Raw_Data!D53))</f>
        <v>Iced Latte</v>
      </c>
      <c r="E52" s="9" t="str">
        <f aca="false">IFERROR(INDEX($T$6:$T$7,MATCH(PROPER(TRIM(Raw_Data!E53)),$S$6:$S$7,0)),PROPER(TRIM(Raw_Data!E53)))</f>
        <v>Cold Beverages</v>
      </c>
      <c r="F52" s="9" t="n">
        <f aca="false">IF(TRIM(Raw_Data!F53&amp;"")="",1,VALUE(Raw_Data!F53))</f>
        <v>3</v>
      </c>
      <c r="G52" s="13" t="n">
        <f aca="false">VALUE(Raw_Data!G53)</f>
        <v>200</v>
      </c>
      <c r="H52" s="13" t="n">
        <f aca="false">F52*G52</f>
        <v>600</v>
      </c>
      <c r="I52" s="13" t="n">
        <f aca="false">VALUE(Raw_Data!H53)</f>
        <v>277</v>
      </c>
      <c r="J52" s="13" t="n">
        <f aca="false">H52-I52</f>
        <v>323</v>
      </c>
      <c r="K52" s="14" t="n">
        <f aca="false">IFERROR(J52/H52,0)</f>
        <v>0.538333333333333</v>
      </c>
      <c r="L52" s="9" t="str">
        <f aca="false">TEXT(B52,"MMM-YYYY")</f>
        <v>Aug-2026</v>
      </c>
      <c r="M52" s="9" t="n">
        <f aca="false">YEAR(B52)</f>
        <v>2026</v>
      </c>
      <c r="N52" s="9" t="str">
        <f aca="false">IF(TRIM(Raw_Data!I53&amp;"")="","Not Specified",TRIM(Raw_Data!I53))</f>
        <v>Cash</v>
      </c>
      <c r="O52" s="9" t="str">
        <f aca="false">PROPER(TRIM(Raw_Data!J53))</f>
        <v>Completed</v>
      </c>
      <c r="P52" s="9" t="str">
        <f aca="false">IF(O52="Completed","Completed","Not Completed")</f>
        <v>Completed</v>
      </c>
    </row>
    <row r="53" customFormat="false" ht="15" hidden="false" customHeight="false" outlineLevel="0" collapsed="false">
      <c r="A53" s="9" t="str">
        <f aca="false">Raw_Data!A54</f>
        <v>ORD1136</v>
      </c>
      <c r="B53" s="10" t="n">
        <f aca="false">IF(ISNUMBER(Raw_Data!B54),Raw_Data!B54,DATE(VALUE(RIGHT(Raw_Data!B54,4)),VALUE(MID(Raw_Data!B54,4,2)),VALUE(LEFT(Raw_Data!B54,2))))</f>
        <v>46200</v>
      </c>
      <c r="C53" s="9" t="str">
        <f aca="false">IFERROR(INDEX($T$10:$T$11,MATCH(PROPER(TRIM(Raw_Data!C54)),$S$10:$S$11,0)),PROPER(TRIM(Raw_Data!C54)))</f>
        <v>Koramangala</v>
      </c>
      <c r="D53" s="9" t="str">
        <f aca="false">PROPER(TRIM(Raw_Data!D54))</f>
        <v>Muffin</v>
      </c>
      <c r="E53" s="9" t="str">
        <f aca="false">IFERROR(INDEX($T$6:$T$7,MATCH(PROPER(TRIM(Raw_Data!E54)),$S$6:$S$7,0)),PROPER(TRIM(Raw_Data!E54)))</f>
        <v>Bakery</v>
      </c>
      <c r="F53" s="9" t="n">
        <f aca="false">IF(TRIM(Raw_Data!F54&amp;"")="",1,VALUE(Raw_Data!F54))</f>
        <v>1</v>
      </c>
      <c r="G53" s="13" t="n">
        <f aca="false">VALUE(Raw_Data!G54)</f>
        <v>130</v>
      </c>
      <c r="H53" s="13" t="n">
        <f aca="false">F53*G53</f>
        <v>130</v>
      </c>
      <c r="I53" s="13" t="n">
        <f aca="false">VALUE(Raw_Data!H54)</f>
        <v>58</v>
      </c>
      <c r="J53" s="13" t="n">
        <f aca="false">H53-I53</f>
        <v>72</v>
      </c>
      <c r="K53" s="14" t="n">
        <f aca="false">IFERROR(J53/H53,0)</f>
        <v>0.553846153846154</v>
      </c>
      <c r="L53" s="9" t="str">
        <f aca="false">TEXT(B53,"MMM-YYYY")</f>
        <v>Jun-2026</v>
      </c>
      <c r="M53" s="9" t="n">
        <f aca="false">YEAR(B53)</f>
        <v>2026</v>
      </c>
      <c r="N53" s="9" t="str">
        <f aca="false">IF(TRIM(Raw_Data!I54&amp;"")="","Not Specified",TRIM(Raw_Data!I54))</f>
        <v>Cash</v>
      </c>
      <c r="O53" s="9" t="str">
        <f aca="false">PROPER(TRIM(Raw_Data!J54))</f>
        <v>Completed</v>
      </c>
      <c r="P53" s="9" t="str">
        <f aca="false">IF(O53="Completed","Completed","Not Completed")</f>
        <v>Completed</v>
      </c>
    </row>
    <row r="54" customFormat="false" ht="15" hidden="false" customHeight="false" outlineLevel="0" collapsed="false">
      <c r="A54" s="9" t="str">
        <f aca="false">Raw_Data!A55</f>
        <v>ORD1079</v>
      </c>
      <c r="B54" s="10" t="n">
        <f aca="false">IF(ISNUMBER(Raw_Data!B55),Raw_Data!B55,DATE(VALUE(RIGHT(Raw_Data!B55,4)),VALUE(MID(Raw_Data!B55,4,2)),VALUE(LEFT(Raw_Data!B55,2))))</f>
        <v>46213</v>
      </c>
      <c r="C54" s="9" t="str">
        <f aca="false">IFERROR(INDEX($T$10:$T$11,MATCH(PROPER(TRIM(Raw_Data!C55)),$S$10:$S$11,0)),PROPER(TRIM(Raw_Data!C55)))</f>
        <v>Koramangala</v>
      </c>
      <c r="D54" s="9" t="str">
        <f aca="false">PROPER(TRIM(Raw_Data!D55))</f>
        <v>Garlic Bread</v>
      </c>
      <c r="E54" s="9" t="str">
        <f aca="false">IFERROR(INDEX($T$6:$T$7,MATCH(PROPER(TRIM(Raw_Data!E55)),$S$6:$S$7,0)),PROPER(TRIM(Raw_Data!E55)))</f>
        <v>Snacks</v>
      </c>
      <c r="F54" s="9" t="n">
        <f aca="false">IF(TRIM(Raw_Data!F55&amp;"")="",1,VALUE(Raw_Data!F55))</f>
        <v>1</v>
      </c>
      <c r="G54" s="13" t="n">
        <f aca="false">VALUE(Raw_Data!G55)</f>
        <v>150</v>
      </c>
      <c r="H54" s="13" t="n">
        <f aca="false">F54*G54</f>
        <v>150</v>
      </c>
      <c r="I54" s="13" t="n">
        <f aca="false">VALUE(Raw_Data!H55)</f>
        <v>72</v>
      </c>
      <c r="J54" s="13" t="n">
        <f aca="false">H54-I54</f>
        <v>78</v>
      </c>
      <c r="K54" s="14" t="n">
        <f aca="false">IFERROR(J54/H54,0)</f>
        <v>0.52</v>
      </c>
      <c r="L54" s="9" t="str">
        <f aca="false">TEXT(B54,"MMM-YYYY")</f>
        <v>Jul-2026</v>
      </c>
      <c r="M54" s="9" t="n">
        <f aca="false">YEAR(B54)</f>
        <v>2026</v>
      </c>
      <c r="N54" s="9" t="str">
        <f aca="false">IF(TRIM(Raw_Data!I55&amp;"")="","Not Specified",TRIM(Raw_Data!I55))</f>
        <v>Card</v>
      </c>
      <c r="O54" s="9" t="str">
        <f aca="false">PROPER(TRIM(Raw_Data!J55))</f>
        <v>Cancelled</v>
      </c>
      <c r="P54" s="9" t="str">
        <f aca="false">IF(O54="Completed","Completed","Not Completed")</f>
        <v>Not Completed</v>
      </c>
    </row>
    <row r="55" customFormat="false" ht="15" hidden="false" customHeight="false" outlineLevel="0" collapsed="false">
      <c r="A55" s="9" t="str">
        <f aca="false">Raw_Data!A56</f>
        <v>ORD1151</v>
      </c>
      <c r="B55" s="10" t="n">
        <f aca="false">IF(ISNUMBER(Raw_Data!B56),Raw_Data!B56,DATE(VALUE(RIGHT(Raw_Data!B56,4)),VALUE(MID(Raw_Data!B56,4,2)),VALUE(LEFT(Raw_Data!B56,2))))</f>
        <v>46253</v>
      </c>
      <c r="C55" s="9" t="str">
        <f aca="false">IFERROR(INDEX($T$10:$T$11,MATCH(PROPER(TRIM(Raw_Data!C56)),$S$10:$S$11,0)),PROPER(TRIM(Raw_Data!C56)))</f>
        <v>HSR Layout</v>
      </c>
      <c r="D55" s="9" t="str">
        <f aca="false">PROPER(TRIM(Raw_Data!D56))</f>
        <v>Cold Brew</v>
      </c>
      <c r="E55" s="9" t="str">
        <f aca="false">IFERROR(INDEX($T$6:$T$7,MATCH(PROPER(TRIM(Raw_Data!E56)),$S$6:$S$7,0)),PROPER(TRIM(Raw_Data!E56)))</f>
        <v>Cold Beverages</v>
      </c>
      <c r="F55" s="9" t="n">
        <f aca="false">IF(TRIM(Raw_Data!F56&amp;"")="",1,VALUE(Raw_Data!F56))</f>
        <v>3</v>
      </c>
      <c r="G55" s="13" t="n">
        <f aca="false">VALUE(Raw_Data!G56)</f>
        <v>220</v>
      </c>
      <c r="H55" s="13" t="n">
        <f aca="false">F55*G55</f>
        <v>660</v>
      </c>
      <c r="I55" s="13" t="n">
        <f aca="false">VALUE(Raw_Data!H56)</f>
        <v>277</v>
      </c>
      <c r="J55" s="13" t="n">
        <f aca="false">H55-I55</f>
        <v>383</v>
      </c>
      <c r="K55" s="14" t="n">
        <f aca="false">IFERROR(J55/H55,0)</f>
        <v>0.58030303030303</v>
      </c>
      <c r="L55" s="9" t="str">
        <f aca="false">TEXT(B55,"MMM-YYYY")</f>
        <v>Aug-2026</v>
      </c>
      <c r="M55" s="9" t="n">
        <f aca="false">YEAR(B55)</f>
        <v>2026</v>
      </c>
      <c r="N55" s="9" t="str">
        <f aca="false">IF(TRIM(Raw_Data!I56&amp;"")="","Not Specified",TRIM(Raw_Data!I56))</f>
        <v>UPI</v>
      </c>
      <c r="O55" s="9" t="str">
        <f aca="false">PROPER(TRIM(Raw_Data!J56))</f>
        <v>Completed</v>
      </c>
      <c r="P55" s="9" t="str">
        <f aca="false">IF(O55="Completed","Completed","Not Completed")</f>
        <v>Completed</v>
      </c>
    </row>
    <row r="56" customFormat="false" ht="15" hidden="false" customHeight="false" outlineLevel="0" collapsed="false">
      <c r="A56" s="9" t="str">
        <f aca="false">Raw_Data!A57</f>
        <v>ORD1071</v>
      </c>
      <c r="B56" s="10" t="n">
        <f aca="false">IF(ISNUMBER(Raw_Data!B57),Raw_Data!B57,DATE(VALUE(RIGHT(Raw_Data!B57,4)),VALUE(MID(Raw_Data!B57,4,2)),VALUE(LEFT(Raw_Data!B57,2))))</f>
        <v>46261</v>
      </c>
      <c r="C56" s="9" t="str">
        <f aca="false">IFERROR(INDEX($T$10:$T$11,MATCH(PROPER(TRIM(Raw_Data!C57)),$S$10:$S$11,0)),PROPER(TRIM(Raw_Data!C57)))</f>
        <v>Indiranagar</v>
      </c>
      <c r="D56" s="9" t="str">
        <f aca="false">PROPER(TRIM(Raw_Data!D57))</f>
        <v>Espresso</v>
      </c>
      <c r="E56" s="9" t="str">
        <f aca="false">IFERROR(INDEX($T$6:$T$7,MATCH(PROPER(TRIM(Raw_Data!E57)),$S$6:$S$7,0)),PROPER(TRIM(Raw_Data!E57)))</f>
        <v>Hot Beverages</v>
      </c>
      <c r="F56" s="9" t="n">
        <f aca="false">IF(TRIM(Raw_Data!F57&amp;"")="",1,VALUE(Raw_Data!F57))</f>
        <v>1</v>
      </c>
      <c r="G56" s="13" t="n">
        <f aca="false">VALUE(Raw_Data!G57)</f>
        <v>150</v>
      </c>
      <c r="H56" s="13" t="n">
        <f aca="false">F56*G56</f>
        <v>150</v>
      </c>
      <c r="I56" s="13" t="n">
        <f aca="false">VALUE(Raw_Data!H57)</f>
        <v>54</v>
      </c>
      <c r="J56" s="13" t="n">
        <f aca="false">H56-I56</f>
        <v>96</v>
      </c>
      <c r="K56" s="14" t="n">
        <f aca="false">IFERROR(J56/H56,0)</f>
        <v>0.64</v>
      </c>
      <c r="L56" s="9" t="str">
        <f aca="false">TEXT(B56,"MMM-YYYY")</f>
        <v>Aug-2026</v>
      </c>
      <c r="M56" s="9" t="n">
        <f aca="false">YEAR(B56)</f>
        <v>2026</v>
      </c>
      <c r="N56" s="9" t="str">
        <f aca="false">IF(TRIM(Raw_Data!I57&amp;"")="","Not Specified",TRIM(Raw_Data!I57))</f>
        <v>Not Specified</v>
      </c>
      <c r="O56" s="9" t="str">
        <f aca="false">PROPER(TRIM(Raw_Data!J57))</f>
        <v>Completed</v>
      </c>
      <c r="P56" s="9" t="str">
        <f aca="false">IF(O56="Completed","Completed","Not Completed")</f>
        <v>Completed</v>
      </c>
    </row>
    <row r="57" customFormat="false" ht="15" hidden="false" customHeight="false" outlineLevel="0" collapsed="false">
      <c r="A57" s="9" t="str">
        <f aca="false">Raw_Data!A58</f>
        <v>ORD1181</v>
      </c>
      <c r="B57" s="10" t="n">
        <f aca="false">IF(ISNUMBER(Raw_Data!B58),Raw_Data!B58,DATE(VALUE(RIGHT(Raw_Data!B58,4)),VALUE(MID(Raw_Data!B58,4,2)),VALUE(LEFT(Raw_Data!B58,2))))</f>
        <v>46177</v>
      </c>
      <c r="C57" s="9" t="str">
        <f aca="false">IFERROR(INDEX($T$10:$T$11,MATCH(PROPER(TRIM(Raw_Data!C58)),$S$10:$S$11,0)),PROPER(TRIM(Raw_Data!C58)))</f>
        <v>Koramangala</v>
      </c>
      <c r="D57" s="9" t="str">
        <f aca="false">PROPER(TRIM(Raw_Data!D58))</f>
        <v>Latte</v>
      </c>
      <c r="E57" s="9" t="str">
        <f aca="false">IFERROR(INDEX($T$6:$T$7,MATCH(PROPER(TRIM(Raw_Data!E58)),$S$6:$S$7,0)),PROPER(TRIM(Raw_Data!E58)))</f>
        <v>Hot Beverages</v>
      </c>
      <c r="F57" s="9" t="n">
        <f aca="false">IF(TRIM(Raw_Data!F58&amp;"")="",1,VALUE(Raw_Data!F58))</f>
        <v>1</v>
      </c>
      <c r="G57" s="13" t="n">
        <f aca="false">VALUE(Raw_Data!G58)</f>
        <v>190</v>
      </c>
      <c r="H57" s="13" t="n">
        <f aca="false">F57*G57</f>
        <v>190</v>
      </c>
      <c r="I57" s="13" t="n">
        <f aca="false">VALUE(Raw_Data!H58)</f>
        <v>79</v>
      </c>
      <c r="J57" s="13" t="n">
        <f aca="false">H57-I57</f>
        <v>111</v>
      </c>
      <c r="K57" s="14" t="n">
        <f aca="false">IFERROR(J57/H57,0)</f>
        <v>0.58421052631579</v>
      </c>
      <c r="L57" s="9" t="str">
        <f aca="false">TEXT(B57,"MMM-YYYY")</f>
        <v>Jun-2026</v>
      </c>
      <c r="M57" s="9" t="n">
        <f aca="false">YEAR(B57)</f>
        <v>2026</v>
      </c>
      <c r="N57" s="9" t="str">
        <f aca="false">IF(TRIM(Raw_Data!I58&amp;"")="","Not Specified",TRIM(Raw_Data!I58))</f>
        <v>UPI</v>
      </c>
      <c r="O57" s="9" t="str">
        <f aca="false">PROPER(TRIM(Raw_Data!J58))</f>
        <v>Completed</v>
      </c>
      <c r="P57" s="9" t="str">
        <f aca="false">IF(O57="Completed","Completed","Not Completed")</f>
        <v>Completed</v>
      </c>
    </row>
    <row r="58" customFormat="false" ht="15" hidden="false" customHeight="false" outlineLevel="0" collapsed="false">
      <c r="A58" s="9" t="str">
        <f aca="false">Raw_Data!A59</f>
        <v>ORD1038</v>
      </c>
      <c r="B58" s="10" t="n">
        <f aca="false">IF(ISNUMBER(Raw_Data!B59),Raw_Data!B59,DATE(VALUE(RIGHT(Raw_Data!B59,4)),VALUE(MID(Raw_Data!B59,4,2)),VALUE(LEFT(Raw_Data!B59,2))))</f>
        <v>46243</v>
      </c>
      <c r="C58" s="9" t="str">
        <f aca="false">IFERROR(INDEX($T$10:$T$11,MATCH(PROPER(TRIM(Raw_Data!C59)),$S$10:$S$11,0)),PROPER(TRIM(Raw_Data!C59)))</f>
        <v>HSR Layout</v>
      </c>
      <c r="D58" s="9" t="str">
        <f aca="false">PROPER(TRIM(Raw_Data!D59))</f>
        <v>Hot Chocolate</v>
      </c>
      <c r="E58" s="9" t="str">
        <f aca="false">IFERROR(INDEX($T$6:$T$7,MATCH(PROPER(TRIM(Raw_Data!E59)),$S$6:$S$7,0)),PROPER(TRIM(Raw_Data!E59)))</f>
        <v>Hot Beverages</v>
      </c>
      <c r="F58" s="9" t="n">
        <f aca="false">IF(TRIM(Raw_Data!F59&amp;"")="",1,VALUE(Raw_Data!F59))</f>
        <v>1</v>
      </c>
      <c r="G58" s="13" t="n">
        <f aca="false">VALUE(Raw_Data!G59)</f>
        <v>170</v>
      </c>
      <c r="H58" s="13" t="n">
        <f aca="false">F58*G58</f>
        <v>170</v>
      </c>
      <c r="I58" s="13" t="n">
        <f aca="false">VALUE(Raw_Data!H59)</f>
        <v>72</v>
      </c>
      <c r="J58" s="13" t="n">
        <f aca="false">H58-I58</f>
        <v>98</v>
      </c>
      <c r="K58" s="14" t="n">
        <f aca="false">IFERROR(J58/H58,0)</f>
        <v>0.576470588235294</v>
      </c>
      <c r="L58" s="9" t="str">
        <f aca="false">TEXT(B58,"MMM-YYYY")</f>
        <v>Aug-2026</v>
      </c>
      <c r="M58" s="9" t="n">
        <f aca="false">YEAR(B58)</f>
        <v>2026</v>
      </c>
      <c r="N58" s="9" t="str">
        <f aca="false">IF(TRIM(Raw_Data!I59&amp;"")="","Not Specified",TRIM(Raw_Data!I59))</f>
        <v>Card</v>
      </c>
      <c r="O58" s="9" t="str">
        <f aca="false">PROPER(TRIM(Raw_Data!J59))</f>
        <v>Completed</v>
      </c>
      <c r="P58" s="9" t="str">
        <f aca="false">IF(O58="Completed","Completed","Not Completed")</f>
        <v>Completed</v>
      </c>
    </row>
    <row r="59" customFormat="false" ht="15" hidden="false" customHeight="false" outlineLevel="0" collapsed="false">
      <c r="A59" s="9" t="str">
        <f aca="false">Raw_Data!A60</f>
        <v>ORD1063</v>
      </c>
      <c r="B59" s="10" t="n">
        <f aca="false">IF(ISNUMBER(Raw_Data!B60),Raw_Data!B60,DATE(VALUE(RIGHT(Raw_Data!B60,4)),VALUE(MID(Raw_Data!B60,4,2)),VALUE(LEFT(Raw_Data!B60,2))))</f>
        <v>46259</v>
      </c>
      <c r="C59" s="9" t="str">
        <f aca="false">IFERROR(INDEX($T$10:$T$11,MATCH(PROPER(TRIM(Raw_Data!C60)),$S$10:$S$11,0)),PROPER(TRIM(Raw_Data!C60)))</f>
        <v>Whitefield</v>
      </c>
      <c r="D59" s="9" t="str">
        <f aca="false">PROPER(TRIM(Raw_Data!D60))</f>
        <v>Frappe</v>
      </c>
      <c r="E59" s="9" t="str">
        <f aca="false">IFERROR(INDEX($T$6:$T$7,MATCH(PROPER(TRIM(Raw_Data!E60)),$S$6:$S$7,0)),PROPER(TRIM(Raw_Data!E60)))</f>
        <v>Cold Beverages</v>
      </c>
      <c r="F59" s="9" t="n">
        <f aca="false">IF(TRIM(Raw_Data!F60&amp;"")="",1,VALUE(Raw_Data!F60))</f>
        <v>2</v>
      </c>
      <c r="G59" s="13" t="n">
        <f aca="false">VALUE(Raw_Data!G60)</f>
        <v>240</v>
      </c>
      <c r="H59" s="13" t="n">
        <f aca="false">F59*G59</f>
        <v>480</v>
      </c>
      <c r="I59" s="13" t="n">
        <f aca="false">VALUE(Raw_Data!H60)</f>
        <v>185</v>
      </c>
      <c r="J59" s="13" t="n">
        <f aca="false">H59-I59</f>
        <v>295</v>
      </c>
      <c r="K59" s="14" t="n">
        <f aca="false">IFERROR(J59/H59,0)</f>
        <v>0.614583333333333</v>
      </c>
      <c r="L59" s="9" t="str">
        <f aca="false">TEXT(B59,"MMM-YYYY")</f>
        <v>Aug-2026</v>
      </c>
      <c r="M59" s="9" t="n">
        <f aca="false">YEAR(B59)</f>
        <v>2026</v>
      </c>
      <c r="N59" s="9" t="str">
        <f aca="false">IF(TRIM(Raw_Data!I60&amp;"")="","Not Specified",TRIM(Raw_Data!I60))</f>
        <v>UPI</v>
      </c>
      <c r="O59" s="9" t="str">
        <f aca="false">PROPER(TRIM(Raw_Data!J60))</f>
        <v>Completed</v>
      </c>
      <c r="P59" s="9" t="str">
        <f aca="false">IF(O59="Completed","Completed","Not Completed")</f>
        <v>Completed</v>
      </c>
    </row>
    <row r="60" customFormat="false" ht="15" hidden="false" customHeight="false" outlineLevel="0" collapsed="false">
      <c r="A60" s="9" t="str">
        <f aca="false">Raw_Data!A61</f>
        <v>ORD1167</v>
      </c>
      <c r="B60" s="10" t="n">
        <f aca="false">IF(ISNUMBER(Raw_Data!B61),Raw_Data!B61,DATE(VALUE(RIGHT(Raw_Data!B61,4)),VALUE(MID(Raw_Data!B61,4,2)),VALUE(LEFT(Raw_Data!B61,2))))</f>
        <v>46182</v>
      </c>
      <c r="C60" s="9" t="str">
        <f aca="false">IFERROR(INDEX($T$10:$T$11,MATCH(PROPER(TRIM(Raw_Data!C61)),$S$10:$S$11,0)),PROPER(TRIM(Raw_Data!C61)))</f>
        <v>Indiranagar</v>
      </c>
      <c r="D60" s="9" t="str">
        <f aca="false">PROPER(TRIM(Raw_Data!D61))</f>
        <v>Iced Tea</v>
      </c>
      <c r="E60" s="9" t="str">
        <f aca="false">IFERROR(INDEX($T$6:$T$7,MATCH(PROPER(TRIM(Raw_Data!E61)),$S$6:$S$7,0)),PROPER(TRIM(Raw_Data!E61)))</f>
        <v>Cold Beverages</v>
      </c>
      <c r="F60" s="9" t="n">
        <f aca="false">IF(TRIM(Raw_Data!F61&amp;"")="",1,VALUE(Raw_Data!F61))</f>
        <v>1</v>
      </c>
      <c r="G60" s="13" t="n">
        <f aca="false">VALUE(Raw_Data!G61)</f>
        <v>150</v>
      </c>
      <c r="H60" s="13" t="n">
        <f aca="false">F60*G60</f>
        <v>150</v>
      </c>
      <c r="I60" s="13" t="n">
        <f aca="false">VALUE(Raw_Data!H61)</f>
        <v>61</v>
      </c>
      <c r="J60" s="13" t="n">
        <f aca="false">H60-I60</f>
        <v>89</v>
      </c>
      <c r="K60" s="14" t="n">
        <f aca="false">IFERROR(J60/H60,0)</f>
        <v>0.593333333333333</v>
      </c>
      <c r="L60" s="9" t="str">
        <f aca="false">TEXT(B60,"MMM-YYYY")</f>
        <v>Jun-2026</v>
      </c>
      <c r="M60" s="9" t="n">
        <f aca="false">YEAR(B60)</f>
        <v>2026</v>
      </c>
      <c r="N60" s="9" t="str">
        <f aca="false">IF(TRIM(Raw_Data!I61&amp;"")="","Not Specified",TRIM(Raw_Data!I61))</f>
        <v>UPI</v>
      </c>
      <c r="O60" s="9" t="str">
        <f aca="false">PROPER(TRIM(Raw_Data!J61))</f>
        <v>Completed</v>
      </c>
      <c r="P60" s="9" t="str">
        <f aca="false">IF(O60="Completed","Completed","Not Completed")</f>
        <v>Completed</v>
      </c>
    </row>
    <row r="61" customFormat="false" ht="15" hidden="false" customHeight="false" outlineLevel="0" collapsed="false">
      <c r="A61" s="9" t="str">
        <f aca="false">Raw_Data!A62</f>
        <v>ORD1044</v>
      </c>
      <c r="B61" s="10" t="n">
        <f aca="false">IF(ISNUMBER(Raw_Data!B62),Raw_Data!B62,DATE(VALUE(RIGHT(Raw_Data!B62,4)),VALUE(MID(Raw_Data!B62,4,2)),VALUE(LEFT(Raw_Data!B62,2))))</f>
        <v>46263</v>
      </c>
      <c r="C61" s="9" t="str">
        <f aca="false">IFERROR(INDEX($T$10:$T$11,MATCH(PROPER(TRIM(Raw_Data!C62)),$S$10:$S$11,0)),PROPER(TRIM(Raw_Data!C62)))</f>
        <v>Whitefield</v>
      </c>
      <c r="D61" s="9" t="str">
        <f aca="false">PROPER(TRIM(Raw_Data!D62))</f>
        <v>Iced Latte</v>
      </c>
      <c r="E61" s="9" t="str">
        <f aca="false">IFERROR(INDEX($T$6:$T$7,MATCH(PROPER(TRIM(Raw_Data!E62)),$S$6:$S$7,0)),PROPER(TRIM(Raw_Data!E62)))</f>
        <v>Cold Beverages</v>
      </c>
      <c r="F61" s="9" t="n">
        <f aca="false">IF(TRIM(Raw_Data!F62&amp;"")="",1,VALUE(Raw_Data!F62))</f>
        <v>3</v>
      </c>
      <c r="G61" s="13" t="n">
        <f aca="false">VALUE(Raw_Data!G62)</f>
        <v>200</v>
      </c>
      <c r="H61" s="13" t="n">
        <f aca="false">F61*G61</f>
        <v>600</v>
      </c>
      <c r="I61" s="13" t="n">
        <f aca="false">VALUE(Raw_Data!H62)</f>
        <v>236</v>
      </c>
      <c r="J61" s="13" t="n">
        <f aca="false">H61-I61</f>
        <v>364</v>
      </c>
      <c r="K61" s="14" t="n">
        <f aca="false">IFERROR(J61/H61,0)</f>
        <v>0.606666666666667</v>
      </c>
      <c r="L61" s="9" t="str">
        <f aca="false">TEXT(B61,"MMM-YYYY")</f>
        <v>Aug-2026</v>
      </c>
      <c r="M61" s="9" t="n">
        <f aca="false">YEAR(B61)</f>
        <v>2026</v>
      </c>
      <c r="N61" s="9" t="str">
        <f aca="false">IF(TRIM(Raw_Data!I62&amp;"")="","Not Specified",TRIM(Raw_Data!I62))</f>
        <v>UPI</v>
      </c>
      <c r="O61" s="9" t="str">
        <f aca="false">PROPER(TRIM(Raw_Data!J62))</f>
        <v>Completed</v>
      </c>
      <c r="P61" s="9" t="str">
        <f aca="false">IF(O61="Completed","Completed","Not Completed")</f>
        <v>Completed</v>
      </c>
    </row>
    <row r="62" customFormat="false" ht="15" hidden="false" customHeight="false" outlineLevel="0" collapsed="false">
      <c r="A62" s="9" t="str">
        <f aca="false">Raw_Data!A63</f>
        <v>ORD1024</v>
      </c>
      <c r="B62" s="10" t="n">
        <f aca="false">IF(ISNUMBER(Raw_Data!B63),Raw_Data!B63,DATE(VALUE(RIGHT(Raw_Data!B63,4)),VALUE(MID(Raw_Data!B63,4,2)),VALUE(LEFT(Raw_Data!B63,2))))</f>
        <v>46235</v>
      </c>
      <c r="C62" s="9" t="str">
        <f aca="false">IFERROR(INDEX($T$10:$T$11,MATCH(PROPER(TRIM(Raw_Data!C63)),$S$10:$S$11,0)),PROPER(TRIM(Raw_Data!C63)))</f>
        <v>Indiranagar</v>
      </c>
      <c r="D62" s="9" t="str">
        <f aca="false">PROPER(TRIM(Raw_Data!D63))</f>
        <v>Nachos</v>
      </c>
      <c r="E62" s="9" t="str">
        <f aca="false">IFERROR(INDEX($T$6:$T$7,MATCH(PROPER(TRIM(Raw_Data!E63)),$S$6:$S$7,0)),PROPER(TRIM(Raw_Data!E63)))</f>
        <v>Snacks</v>
      </c>
      <c r="F62" s="9" t="n">
        <f aca="false">IF(TRIM(Raw_Data!F63&amp;"")="",1,VALUE(Raw_Data!F63))</f>
        <v>1</v>
      </c>
      <c r="G62" s="13" t="n">
        <f aca="false">VALUE(Raw_Data!G63)</f>
        <v>170</v>
      </c>
      <c r="H62" s="13" t="n">
        <f aca="false">F62*G62</f>
        <v>170</v>
      </c>
      <c r="I62" s="13" t="n">
        <f aca="false">VALUE(Raw_Data!H63)</f>
        <v>92</v>
      </c>
      <c r="J62" s="13" t="n">
        <f aca="false">H62-I62</f>
        <v>78</v>
      </c>
      <c r="K62" s="14" t="n">
        <f aca="false">IFERROR(J62/H62,0)</f>
        <v>0.458823529411765</v>
      </c>
      <c r="L62" s="9" t="str">
        <f aca="false">TEXT(B62,"MMM-YYYY")</f>
        <v>Aug-2026</v>
      </c>
      <c r="M62" s="9" t="n">
        <f aca="false">YEAR(B62)</f>
        <v>2026</v>
      </c>
      <c r="N62" s="9" t="str">
        <f aca="false">IF(TRIM(Raw_Data!I63&amp;"")="","Not Specified",TRIM(Raw_Data!I63))</f>
        <v>UPI</v>
      </c>
      <c r="O62" s="9" t="str">
        <f aca="false">PROPER(TRIM(Raw_Data!J63))</f>
        <v>Completed</v>
      </c>
      <c r="P62" s="9" t="str">
        <f aca="false">IF(O62="Completed","Completed","Not Completed")</f>
        <v>Completed</v>
      </c>
    </row>
    <row r="63" customFormat="false" ht="15" hidden="false" customHeight="false" outlineLevel="0" collapsed="false">
      <c r="A63" s="9" t="str">
        <f aca="false">Raw_Data!A64</f>
        <v>ORD1131</v>
      </c>
      <c r="B63" s="10" t="n">
        <f aca="false">IF(ISNUMBER(Raw_Data!B64),Raw_Data!B64,DATE(VALUE(RIGHT(Raw_Data!B64,4)),VALUE(MID(Raw_Data!B64,4,2)),VALUE(LEFT(Raw_Data!B64,2))))</f>
        <v>46186</v>
      </c>
      <c r="C63" s="9" t="str">
        <f aca="false">IFERROR(INDEX($T$10:$T$11,MATCH(PROPER(TRIM(Raw_Data!C64)),$S$10:$S$11,0)),PROPER(TRIM(Raw_Data!C64)))</f>
        <v>HSR Layout</v>
      </c>
      <c r="D63" s="9" t="str">
        <f aca="false">PROPER(TRIM(Raw_Data!D64))</f>
        <v>Latte</v>
      </c>
      <c r="E63" s="9" t="str">
        <f aca="false">IFERROR(INDEX($T$6:$T$7,MATCH(PROPER(TRIM(Raw_Data!E64)),$S$6:$S$7,0)),PROPER(TRIM(Raw_Data!E64)))</f>
        <v>Hot Beverages</v>
      </c>
      <c r="F63" s="9" t="n">
        <f aca="false">IF(TRIM(Raw_Data!F64&amp;"")="",1,VALUE(Raw_Data!F64))</f>
        <v>1</v>
      </c>
      <c r="G63" s="13" t="n">
        <f aca="false">VALUE(Raw_Data!G64)</f>
        <v>190</v>
      </c>
      <c r="H63" s="13" t="n">
        <f aca="false">F63*G63</f>
        <v>190</v>
      </c>
      <c r="I63" s="13" t="n">
        <f aca="false">VALUE(Raw_Data!H64)</f>
        <v>76</v>
      </c>
      <c r="J63" s="13" t="n">
        <f aca="false">H63-I63</f>
        <v>114</v>
      </c>
      <c r="K63" s="14" t="n">
        <f aca="false">IFERROR(J63/H63,0)</f>
        <v>0.6</v>
      </c>
      <c r="L63" s="9" t="str">
        <f aca="false">TEXT(B63,"MMM-YYYY")</f>
        <v>Jun-2026</v>
      </c>
      <c r="M63" s="9" t="n">
        <f aca="false">YEAR(B63)</f>
        <v>2026</v>
      </c>
      <c r="N63" s="9" t="str">
        <f aca="false">IF(TRIM(Raw_Data!I64&amp;"")="","Not Specified",TRIM(Raw_Data!I64))</f>
        <v>Card</v>
      </c>
      <c r="O63" s="9" t="str">
        <f aca="false">PROPER(TRIM(Raw_Data!J64))</f>
        <v>Completed</v>
      </c>
      <c r="P63" s="9" t="str">
        <f aca="false">IF(O63="Completed","Completed","Not Completed")</f>
        <v>Completed</v>
      </c>
    </row>
    <row r="64" customFormat="false" ht="15" hidden="false" customHeight="false" outlineLevel="0" collapsed="false">
      <c r="A64" s="9" t="str">
        <f aca="false">Raw_Data!A65</f>
        <v>ORD1084</v>
      </c>
      <c r="B64" s="10" t="n">
        <f aca="false">IF(ISNUMBER(Raw_Data!B65),Raw_Data!B65,DATE(VALUE(RIGHT(Raw_Data!B65,4)),VALUE(MID(Raw_Data!B65,4,2)),VALUE(LEFT(Raw_Data!B65,2))))</f>
        <v>46216</v>
      </c>
      <c r="C64" s="9" t="str">
        <f aca="false">IFERROR(INDEX($T$10:$T$11,MATCH(PROPER(TRIM(Raw_Data!C65)),$S$10:$S$11,0)),PROPER(TRIM(Raw_Data!C65)))</f>
        <v>Koramangala</v>
      </c>
      <c r="D64" s="9" t="str">
        <f aca="false">PROPER(TRIM(Raw_Data!D65))</f>
        <v>Muffin</v>
      </c>
      <c r="E64" s="9" t="str">
        <f aca="false">IFERROR(INDEX($T$6:$T$7,MATCH(PROPER(TRIM(Raw_Data!E65)),$S$6:$S$7,0)),PROPER(TRIM(Raw_Data!E65)))</f>
        <v>Bakery</v>
      </c>
      <c r="F64" s="9" t="n">
        <f aca="false">IF(TRIM(Raw_Data!F65&amp;"")="",1,VALUE(Raw_Data!F65))</f>
        <v>2</v>
      </c>
      <c r="G64" s="13" t="n">
        <f aca="false">VALUE(Raw_Data!G65)</f>
        <v>130</v>
      </c>
      <c r="H64" s="13" t="n">
        <f aca="false">F64*G64</f>
        <v>260</v>
      </c>
      <c r="I64" s="13" t="n">
        <f aca="false">VALUE(Raw_Data!H65)</f>
        <v>130</v>
      </c>
      <c r="J64" s="13" t="n">
        <f aca="false">H64-I64</f>
        <v>130</v>
      </c>
      <c r="K64" s="14" t="n">
        <f aca="false">IFERROR(J64/H64,0)</f>
        <v>0.5</v>
      </c>
      <c r="L64" s="9" t="str">
        <f aca="false">TEXT(B64,"MMM-YYYY")</f>
        <v>Jul-2026</v>
      </c>
      <c r="M64" s="9" t="n">
        <f aca="false">YEAR(B64)</f>
        <v>2026</v>
      </c>
      <c r="N64" s="9" t="str">
        <f aca="false">IF(TRIM(Raw_Data!I65&amp;"")="","Not Specified",TRIM(Raw_Data!I65))</f>
        <v>UPI</v>
      </c>
      <c r="O64" s="9" t="str">
        <f aca="false">PROPER(TRIM(Raw_Data!J65))</f>
        <v>Cancelled</v>
      </c>
      <c r="P64" s="9" t="str">
        <f aca="false">IF(O64="Completed","Completed","Not Completed")</f>
        <v>Not Completed</v>
      </c>
    </row>
    <row r="65" customFormat="false" ht="15" hidden="false" customHeight="false" outlineLevel="0" collapsed="false">
      <c r="A65" s="9" t="str">
        <f aca="false">Raw_Data!A66</f>
        <v>ORD1045</v>
      </c>
      <c r="B65" s="10" t="n">
        <f aca="false">IF(ISNUMBER(Raw_Data!B66),Raw_Data!B66,DATE(VALUE(RIGHT(Raw_Data!B66,4)),VALUE(MID(Raw_Data!B66,4,2)),VALUE(LEFT(Raw_Data!B66,2))))</f>
        <v>46183</v>
      </c>
      <c r="C65" s="9" t="str">
        <f aca="false">IFERROR(INDEX($T$10:$T$11,MATCH(PROPER(TRIM(Raw_Data!C66)),$S$10:$S$11,0)),PROPER(TRIM(Raw_Data!C66)))</f>
        <v>Indiranagar</v>
      </c>
      <c r="D65" s="9" t="str">
        <f aca="false">PROPER(TRIM(Raw_Data!D66))</f>
        <v>Sandwich</v>
      </c>
      <c r="E65" s="9" t="str">
        <f aca="false">IFERROR(INDEX($T$6:$T$7,MATCH(PROPER(TRIM(Raw_Data!E66)),$S$6:$S$7,0)),PROPER(TRIM(Raw_Data!E66)))</f>
        <v>Snacks</v>
      </c>
      <c r="F65" s="9" t="n">
        <f aca="false">IF(TRIM(Raw_Data!F66&amp;"")="",1,VALUE(Raw_Data!F66))</f>
        <v>1</v>
      </c>
      <c r="G65" s="13" t="n">
        <f aca="false">VALUE(Raw_Data!G66)</f>
        <v>190</v>
      </c>
      <c r="H65" s="13" t="n">
        <f aca="false">F65*G65</f>
        <v>190</v>
      </c>
      <c r="I65" s="13" t="n">
        <f aca="false">VALUE(Raw_Data!H66)</f>
        <v>96</v>
      </c>
      <c r="J65" s="13" t="n">
        <f aca="false">H65-I65</f>
        <v>94</v>
      </c>
      <c r="K65" s="14" t="n">
        <f aca="false">IFERROR(J65/H65,0)</f>
        <v>0.494736842105263</v>
      </c>
      <c r="L65" s="9" t="str">
        <f aca="false">TEXT(B65,"MMM-YYYY")</f>
        <v>Jun-2026</v>
      </c>
      <c r="M65" s="9" t="n">
        <f aca="false">YEAR(B65)</f>
        <v>2026</v>
      </c>
      <c r="N65" s="9" t="str">
        <f aca="false">IF(TRIM(Raw_Data!I66&amp;"")="","Not Specified",TRIM(Raw_Data!I66))</f>
        <v>Cash</v>
      </c>
      <c r="O65" s="9" t="str">
        <f aca="false">PROPER(TRIM(Raw_Data!J66))</f>
        <v>Cancelled</v>
      </c>
      <c r="P65" s="9" t="str">
        <f aca="false">IF(O65="Completed","Completed","Not Completed")</f>
        <v>Not Completed</v>
      </c>
    </row>
    <row r="66" customFormat="false" ht="15" hidden="false" customHeight="false" outlineLevel="0" collapsed="false">
      <c r="A66" s="9" t="str">
        <f aca="false">Raw_Data!A67</f>
        <v>ORD1116</v>
      </c>
      <c r="B66" s="10" t="n">
        <f aca="false">IF(ISNUMBER(Raw_Data!B67),Raw_Data!B67,DATE(VALUE(RIGHT(Raw_Data!B67,4)),VALUE(MID(Raw_Data!B67,4,2)),VALUE(LEFT(Raw_Data!B67,2))))</f>
        <v>46219</v>
      </c>
      <c r="C66" s="9" t="str">
        <f aca="false">IFERROR(INDEX($T$10:$T$11,MATCH(PROPER(TRIM(Raw_Data!C67)),$S$10:$S$11,0)),PROPER(TRIM(Raw_Data!C67)))</f>
        <v>Whitefield</v>
      </c>
      <c r="D66" s="9" t="str">
        <f aca="false">PROPER(TRIM(Raw_Data!D67))</f>
        <v>Sandwich</v>
      </c>
      <c r="E66" s="9" t="str">
        <f aca="false">IFERROR(INDEX($T$6:$T$7,MATCH(PROPER(TRIM(Raw_Data!E67)),$S$6:$S$7,0)),PROPER(TRIM(Raw_Data!E67)))</f>
        <v>Snacks</v>
      </c>
      <c r="F66" s="9" t="n">
        <f aca="false">IF(TRIM(Raw_Data!F67&amp;"")="",1,VALUE(Raw_Data!F67))</f>
        <v>1</v>
      </c>
      <c r="G66" s="13" t="n">
        <f aca="false">VALUE(Raw_Data!G67)</f>
        <v>190</v>
      </c>
      <c r="H66" s="13" t="n">
        <f aca="false">F66*G66</f>
        <v>190</v>
      </c>
      <c r="I66" s="13" t="n">
        <f aca="false">VALUE(Raw_Data!H67)</f>
        <v>97</v>
      </c>
      <c r="J66" s="13" t="n">
        <f aca="false">H66-I66</f>
        <v>93</v>
      </c>
      <c r="K66" s="14" t="n">
        <f aca="false">IFERROR(J66/H66,0)</f>
        <v>0.489473684210526</v>
      </c>
      <c r="L66" s="9" t="str">
        <f aca="false">TEXT(B66,"MMM-YYYY")</f>
        <v>Jul-2026</v>
      </c>
      <c r="M66" s="9" t="n">
        <f aca="false">YEAR(B66)</f>
        <v>2026</v>
      </c>
      <c r="N66" s="9" t="str">
        <f aca="false">IF(TRIM(Raw_Data!I67&amp;"")="","Not Specified",TRIM(Raw_Data!I67))</f>
        <v>UPI</v>
      </c>
      <c r="O66" s="9" t="str">
        <f aca="false">PROPER(TRIM(Raw_Data!J67))</f>
        <v>Completed</v>
      </c>
      <c r="P66" s="9" t="str">
        <f aca="false">IF(O66="Completed","Completed","Not Completed")</f>
        <v>Completed</v>
      </c>
    </row>
    <row r="67" customFormat="false" ht="15" hidden="false" customHeight="false" outlineLevel="0" collapsed="false">
      <c r="A67" s="9" t="str">
        <f aca="false">Raw_Data!A68</f>
        <v>ORD1185</v>
      </c>
      <c r="B67" s="10" t="n">
        <f aca="false">IF(ISNUMBER(Raw_Data!B68),Raw_Data!B68,DATE(VALUE(RIGHT(Raw_Data!B68,4)),VALUE(MID(Raw_Data!B68,4,2)),VALUE(LEFT(Raw_Data!B68,2))))</f>
        <v>46211</v>
      </c>
      <c r="C67" s="9" t="str">
        <f aca="false">IFERROR(INDEX($T$10:$T$11,MATCH(PROPER(TRIM(Raw_Data!C68)),$S$10:$S$11,0)),PROPER(TRIM(Raw_Data!C68)))</f>
        <v>Whitefield</v>
      </c>
      <c r="D67" s="9" t="str">
        <f aca="false">PROPER(TRIM(Raw_Data!D68))</f>
        <v>Muffin</v>
      </c>
      <c r="E67" s="9" t="str">
        <f aca="false">IFERROR(INDEX($T$6:$T$7,MATCH(PROPER(TRIM(Raw_Data!E68)),$S$6:$S$7,0)),PROPER(TRIM(Raw_Data!E68)))</f>
        <v>Bakery</v>
      </c>
      <c r="F67" s="9" t="n">
        <f aca="false">IF(TRIM(Raw_Data!F68&amp;"")="",1,VALUE(Raw_Data!F68))</f>
        <v>1</v>
      </c>
      <c r="G67" s="13" t="n">
        <f aca="false">VALUE(Raw_Data!G68)</f>
        <v>130</v>
      </c>
      <c r="H67" s="13" t="n">
        <f aca="false">F67*G67</f>
        <v>130</v>
      </c>
      <c r="I67" s="13" t="n">
        <f aca="false">VALUE(Raw_Data!H68)</f>
        <v>52</v>
      </c>
      <c r="J67" s="13" t="n">
        <f aca="false">H67-I67</f>
        <v>78</v>
      </c>
      <c r="K67" s="14" t="n">
        <f aca="false">IFERROR(J67/H67,0)</f>
        <v>0.6</v>
      </c>
      <c r="L67" s="9" t="str">
        <f aca="false">TEXT(B67,"MMM-YYYY")</f>
        <v>Jul-2026</v>
      </c>
      <c r="M67" s="9" t="n">
        <f aca="false">YEAR(B67)</f>
        <v>2026</v>
      </c>
      <c r="N67" s="9" t="str">
        <f aca="false">IF(TRIM(Raw_Data!I68&amp;"")="","Not Specified",TRIM(Raw_Data!I68))</f>
        <v>UPI</v>
      </c>
      <c r="O67" s="9" t="str">
        <f aca="false">PROPER(TRIM(Raw_Data!J68))</f>
        <v>Completed</v>
      </c>
      <c r="P67" s="9" t="str">
        <f aca="false">IF(O67="Completed","Completed","Not Completed")</f>
        <v>Completed</v>
      </c>
    </row>
    <row r="68" customFormat="false" ht="15" hidden="false" customHeight="false" outlineLevel="0" collapsed="false">
      <c r="A68" s="9" t="str">
        <f aca="false">Raw_Data!A69</f>
        <v>ORD1160</v>
      </c>
      <c r="B68" s="10" t="n">
        <f aca="false">IF(ISNUMBER(Raw_Data!B69),Raw_Data!B69,DATE(VALUE(RIGHT(Raw_Data!B69,4)),VALUE(MID(Raw_Data!B69,4,2)),VALUE(LEFT(Raw_Data!B69,2))))</f>
        <v>46242</v>
      </c>
      <c r="C68" s="9" t="str">
        <f aca="false">IFERROR(INDEX($T$10:$T$11,MATCH(PROPER(TRIM(Raw_Data!C69)),$S$10:$S$11,0)),PROPER(TRIM(Raw_Data!C69)))</f>
        <v>HSR Layout</v>
      </c>
      <c r="D68" s="9" t="str">
        <f aca="false">PROPER(TRIM(Raw_Data!D69))</f>
        <v>Brownie</v>
      </c>
      <c r="E68" s="9" t="str">
        <f aca="false">IFERROR(INDEX($T$6:$T$7,MATCH(PROPER(TRIM(Raw_Data!E69)),$S$6:$S$7,0)),PROPER(TRIM(Raw_Data!E69)))</f>
        <v>Bakery</v>
      </c>
      <c r="F68" s="9" t="n">
        <f aca="false">IF(TRIM(Raw_Data!F69&amp;"")="",1,VALUE(Raw_Data!F69))</f>
        <v>1</v>
      </c>
      <c r="G68" s="13" t="n">
        <f aca="false">VALUE(Raw_Data!G69)</f>
        <v>150</v>
      </c>
      <c r="H68" s="13" t="n">
        <f aca="false">F68*G68</f>
        <v>150</v>
      </c>
      <c r="I68" s="13" t="n">
        <f aca="false">VALUE(Raw_Data!H69)</f>
        <v>78</v>
      </c>
      <c r="J68" s="13" t="n">
        <f aca="false">H68-I68</f>
        <v>72</v>
      </c>
      <c r="K68" s="14" t="n">
        <f aca="false">IFERROR(J68/H68,0)</f>
        <v>0.48</v>
      </c>
      <c r="L68" s="9" t="str">
        <f aca="false">TEXT(B68,"MMM-YYYY")</f>
        <v>Aug-2026</v>
      </c>
      <c r="M68" s="9" t="n">
        <f aca="false">YEAR(B68)</f>
        <v>2026</v>
      </c>
      <c r="N68" s="9" t="str">
        <f aca="false">IF(TRIM(Raw_Data!I69&amp;"")="","Not Specified",TRIM(Raw_Data!I69))</f>
        <v>Not Specified</v>
      </c>
      <c r="O68" s="9" t="str">
        <f aca="false">PROPER(TRIM(Raw_Data!J69))</f>
        <v>Completed</v>
      </c>
      <c r="P68" s="9" t="str">
        <f aca="false">IF(O68="Completed","Completed","Not Completed")</f>
        <v>Completed</v>
      </c>
    </row>
    <row r="69" customFormat="false" ht="15" hidden="false" customHeight="false" outlineLevel="0" collapsed="false">
      <c r="A69" s="9" t="str">
        <f aca="false">Raw_Data!A70</f>
        <v>ORD1182</v>
      </c>
      <c r="B69" s="10" t="n">
        <f aca="false">IF(ISNUMBER(Raw_Data!B70),Raw_Data!B70,DATE(VALUE(RIGHT(Raw_Data!B70,4)),VALUE(MID(Raw_Data!B70,4,2)),VALUE(LEFT(Raw_Data!B70,2))))</f>
        <v>46179</v>
      </c>
      <c r="C69" s="9" t="str">
        <f aca="false">IFERROR(INDEX($T$10:$T$11,MATCH(PROPER(TRIM(Raw_Data!C70)),$S$10:$S$11,0)),PROPER(TRIM(Raw_Data!C70)))</f>
        <v>Koramangala</v>
      </c>
      <c r="D69" s="9" t="str">
        <f aca="false">PROPER(TRIM(Raw_Data!D70))</f>
        <v>Brownie</v>
      </c>
      <c r="E69" s="9" t="str">
        <f aca="false">IFERROR(INDEX($T$6:$T$7,MATCH(PROPER(TRIM(Raw_Data!E70)),$S$6:$S$7,0)),PROPER(TRIM(Raw_Data!E70)))</f>
        <v>Bakery</v>
      </c>
      <c r="F69" s="9" t="n">
        <f aca="false">IF(TRIM(Raw_Data!F70&amp;"")="",1,VALUE(Raw_Data!F70))</f>
        <v>1</v>
      </c>
      <c r="G69" s="13" t="n">
        <f aca="false">VALUE(Raw_Data!G70)</f>
        <v>150</v>
      </c>
      <c r="H69" s="13" t="n">
        <f aca="false">F69*G69</f>
        <v>150</v>
      </c>
      <c r="I69" s="13" t="n">
        <f aca="false">VALUE(Raw_Data!H70)</f>
        <v>77</v>
      </c>
      <c r="J69" s="13" t="n">
        <f aca="false">H69-I69</f>
        <v>73</v>
      </c>
      <c r="K69" s="14" t="n">
        <f aca="false">IFERROR(J69/H69,0)</f>
        <v>0.486666666666667</v>
      </c>
      <c r="L69" s="9" t="str">
        <f aca="false">TEXT(B69,"MMM-YYYY")</f>
        <v>Jun-2026</v>
      </c>
      <c r="M69" s="9" t="n">
        <f aca="false">YEAR(B69)</f>
        <v>2026</v>
      </c>
      <c r="N69" s="9" t="str">
        <f aca="false">IF(TRIM(Raw_Data!I70&amp;"")="","Not Specified",TRIM(Raw_Data!I70))</f>
        <v>UPI</v>
      </c>
      <c r="O69" s="9" t="str">
        <f aca="false">PROPER(TRIM(Raw_Data!J70))</f>
        <v>Completed</v>
      </c>
      <c r="P69" s="9" t="str">
        <f aca="false">IF(O69="Completed","Completed","Not Completed")</f>
        <v>Completed</v>
      </c>
    </row>
    <row r="70" customFormat="false" ht="15" hidden="false" customHeight="false" outlineLevel="0" collapsed="false">
      <c r="A70" s="9" t="str">
        <f aca="false">Raw_Data!A71</f>
        <v>ORD1008</v>
      </c>
      <c r="B70" s="10" t="n">
        <f aca="false">IF(ISNUMBER(Raw_Data!B71),Raw_Data!B71,DATE(VALUE(RIGHT(Raw_Data!B71,4)),VALUE(MID(Raw_Data!B71,4,2)),VALUE(LEFT(Raw_Data!B71,2))))</f>
        <v>46247</v>
      </c>
      <c r="C70" s="9" t="str">
        <f aca="false">IFERROR(INDEX($T$10:$T$11,MATCH(PROPER(TRIM(Raw_Data!C71)),$S$10:$S$11,0)),PROPER(TRIM(Raw_Data!C71)))</f>
        <v>Whitefield</v>
      </c>
      <c r="D70" s="9" t="str">
        <f aca="false">PROPER(TRIM(Raw_Data!D71))</f>
        <v>Nachos</v>
      </c>
      <c r="E70" s="9" t="str">
        <f aca="false">IFERROR(INDEX($T$6:$T$7,MATCH(PROPER(TRIM(Raw_Data!E71)),$S$6:$S$7,0)),PROPER(TRIM(Raw_Data!E71)))</f>
        <v>Snacks</v>
      </c>
      <c r="F70" s="9" t="n">
        <f aca="false">IF(TRIM(Raw_Data!F71&amp;"")="",1,VALUE(Raw_Data!F71))</f>
        <v>2</v>
      </c>
      <c r="G70" s="13" t="n">
        <f aca="false">VALUE(Raw_Data!G71)</f>
        <v>170</v>
      </c>
      <c r="H70" s="13" t="n">
        <f aca="false">F70*G70</f>
        <v>340</v>
      </c>
      <c r="I70" s="13" t="n">
        <f aca="false">VALUE(Raw_Data!H71)</f>
        <v>158</v>
      </c>
      <c r="J70" s="13" t="n">
        <f aca="false">H70-I70</f>
        <v>182</v>
      </c>
      <c r="K70" s="14" t="n">
        <f aca="false">IFERROR(J70/H70,0)</f>
        <v>0.535294117647059</v>
      </c>
      <c r="L70" s="9" t="str">
        <f aca="false">TEXT(B70,"MMM-YYYY")</f>
        <v>Aug-2026</v>
      </c>
      <c r="M70" s="9" t="n">
        <f aca="false">YEAR(B70)</f>
        <v>2026</v>
      </c>
      <c r="N70" s="9" t="str">
        <f aca="false">IF(TRIM(Raw_Data!I71&amp;"")="","Not Specified",TRIM(Raw_Data!I71))</f>
        <v>UPI</v>
      </c>
      <c r="O70" s="9" t="str">
        <f aca="false">PROPER(TRIM(Raw_Data!J71))</f>
        <v>Completed</v>
      </c>
      <c r="P70" s="9" t="str">
        <f aca="false">IF(O70="Completed","Completed","Not Completed")</f>
        <v>Completed</v>
      </c>
    </row>
    <row r="71" customFormat="false" ht="15" hidden="false" customHeight="false" outlineLevel="0" collapsed="false">
      <c r="A71" s="9" t="str">
        <f aca="false">Raw_Data!A72</f>
        <v>ORD1096</v>
      </c>
      <c r="B71" s="10" t="n">
        <f aca="false">IF(ISNUMBER(Raw_Data!B72),Raw_Data!B72,DATE(VALUE(RIGHT(Raw_Data!B72,4)),VALUE(MID(Raw_Data!B72,4,2)),VALUE(LEFT(Raw_Data!B72,2))))</f>
        <v>46222</v>
      </c>
      <c r="C71" s="9" t="str">
        <f aca="false">IFERROR(INDEX($T$10:$T$11,MATCH(PROPER(TRIM(Raw_Data!C72)),$S$10:$S$11,0)),PROPER(TRIM(Raw_Data!C72)))</f>
        <v>Whitefield</v>
      </c>
      <c r="D71" s="9" t="str">
        <f aca="false">PROPER(TRIM(Raw_Data!D72))</f>
        <v>Muffin</v>
      </c>
      <c r="E71" s="9" t="str">
        <f aca="false">IFERROR(INDEX($T$6:$T$7,MATCH(PROPER(TRIM(Raw_Data!E72)),$S$6:$S$7,0)),PROPER(TRIM(Raw_Data!E72)))</f>
        <v>Bakery</v>
      </c>
      <c r="F71" s="9" t="n">
        <f aca="false">IF(TRIM(Raw_Data!F72&amp;"")="",1,VALUE(Raw_Data!F72))</f>
        <v>2</v>
      </c>
      <c r="G71" s="13" t="n">
        <f aca="false">VALUE(Raw_Data!G72)</f>
        <v>130</v>
      </c>
      <c r="H71" s="13" t="n">
        <f aca="false">F71*G71</f>
        <v>260</v>
      </c>
      <c r="I71" s="13" t="n">
        <f aca="false">VALUE(Raw_Data!H72)</f>
        <v>120</v>
      </c>
      <c r="J71" s="13" t="n">
        <f aca="false">H71-I71</f>
        <v>140</v>
      </c>
      <c r="K71" s="14" t="n">
        <f aca="false">IFERROR(J71/H71,0)</f>
        <v>0.538461538461538</v>
      </c>
      <c r="L71" s="9" t="str">
        <f aca="false">TEXT(B71,"MMM-YYYY")</f>
        <v>Jul-2026</v>
      </c>
      <c r="M71" s="9" t="n">
        <f aca="false">YEAR(B71)</f>
        <v>2026</v>
      </c>
      <c r="N71" s="9" t="str">
        <f aca="false">IF(TRIM(Raw_Data!I72&amp;"")="","Not Specified",TRIM(Raw_Data!I72))</f>
        <v>Cash</v>
      </c>
      <c r="O71" s="9" t="str">
        <f aca="false">PROPER(TRIM(Raw_Data!J72))</f>
        <v>Completed</v>
      </c>
      <c r="P71" s="9" t="str">
        <f aca="false">IF(O71="Completed","Completed","Not Completed")</f>
        <v>Completed</v>
      </c>
    </row>
    <row r="72" customFormat="false" ht="15" hidden="false" customHeight="false" outlineLevel="0" collapsed="false">
      <c r="A72" s="9" t="str">
        <f aca="false">Raw_Data!A73</f>
        <v>ORD1157</v>
      </c>
      <c r="B72" s="10" t="n">
        <f aca="false">IF(ISNUMBER(Raw_Data!B73),Raw_Data!B73,DATE(VALUE(RIGHT(Raw_Data!B73,4)),VALUE(MID(Raw_Data!B73,4,2)),VALUE(LEFT(Raw_Data!B73,2))))</f>
        <v>46207</v>
      </c>
      <c r="C72" s="9" t="str">
        <f aca="false">IFERROR(INDEX($T$10:$T$11,MATCH(PROPER(TRIM(Raw_Data!C73)),$S$10:$S$11,0)),PROPER(TRIM(Raw_Data!C73)))</f>
        <v>Indiranagar</v>
      </c>
      <c r="D72" s="9" t="str">
        <f aca="false">PROPER(TRIM(Raw_Data!D73))</f>
        <v>Muffin</v>
      </c>
      <c r="E72" s="9" t="str">
        <f aca="false">IFERROR(INDEX($T$6:$T$7,MATCH(PROPER(TRIM(Raw_Data!E73)),$S$6:$S$7,0)),PROPER(TRIM(Raw_Data!E73)))</f>
        <v>Bakery</v>
      </c>
      <c r="F72" s="9" t="n">
        <f aca="false">IF(TRIM(Raw_Data!F73&amp;"")="",1,VALUE(Raw_Data!F73))</f>
        <v>1</v>
      </c>
      <c r="G72" s="13" t="n">
        <f aca="false">VALUE(Raw_Data!G73)</f>
        <v>130</v>
      </c>
      <c r="H72" s="13" t="n">
        <f aca="false">F72*G72</f>
        <v>130</v>
      </c>
      <c r="I72" s="13" t="n">
        <f aca="false">VALUE(Raw_Data!H73)</f>
        <v>55</v>
      </c>
      <c r="J72" s="13" t="n">
        <f aca="false">H72-I72</f>
        <v>75</v>
      </c>
      <c r="K72" s="14" t="n">
        <f aca="false">IFERROR(J72/H72,0)</f>
        <v>0.576923076923077</v>
      </c>
      <c r="L72" s="9" t="str">
        <f aca="false">TEXT(B72,"MMM-YYYY")</f>
        <v>Jul-2026</v>
      </c>
      <c r="M72" s="9" t="n">
        <f aca="false">YEAR(B72)</f>
        <v>2026</v>
      </c>
      <c r="N72" s="9" t="str">
        <f aca="false">IF(TRIM(Raw_Data!I73&amp;"")="","Not Specified",TRIM(Raw_Data!I73))</f>
        <v>UPI</v>
      </c>
      <c r="O72" s="9" t="str">
        <f aca="false">PROPER(TRIM(Raw_Data!J73))</f>
        <v>Completed</v>
      </c>
      <c r="P72" s="9" t="str">
        <f aca="false">IF(O72="Completed","Completed","Not Completed")</f>
        <v>Completed</v>
      </c>
    </row>
    <row r="73" customFormat="false" ht="15" hidden="false" customHeight="false" outlineLevel="0" collapsed="false">
      <c r="A73" s="9" t="str">
        <f aca="false">Raw_Data!A74</f>
        <v>ORD1176</v>
      </c>
      <c r="B73" s="10" t="n">
        <f aca="false">IF(ISNUMBER(Raw_Data!B74),Raw_Data!B74,DATE(VALUE(RIGHT(Raw_Data!B74,4)),VALUE(MID(Raw_Data!B74,4,2)),VALUE(LEFT(Raw_Data!B74,2))))</f>
        <v>46175</v>
      </c>
      <c r="C73" s="9" t="str">
        <f aca="false">IFERROR(INDEX($T$10:$T$11,MATCH(PROPER(TRIM(Raw_Data!C74)),$S$10:$S$11,0)),PROPER(TRIM(Raw_Data!C74)))</f>
        <v>Indiranagar</v>
      </c>
      <c r="D73" s="9" t="str">
        <f aca="false">PROPER(TRIM(Raw_Data!D74))</f>
        <v>Iced Tea</v>
      </c>
      <c r="E73" s="9" t="str">
        <f aca="false">IFERROR(INDEX($T$6:$T$7,MATCH(PROPER(TRIM(Raw_Data!E74)),$S$6:$S$7,0)),PROPER(TRIM(Raw_Data!E74)))</f>
        <v>Cold Beverages</v>
      </c>
      <c r="F73" s="9" t="n">
        <f aca="false">IF(TRIM(Raw_Data!F74&amp;"")="",1,VALUE(Raw_Data!F74))</f>
        <v>3</v>
      </c>
      <c r="G73" s="13" t="n">
        <f aca="false">VALUE(Raw_Data!G74)</f>
        <v>150</v>
      </c>
      <c r="H73" s="13" t="n">
        <f aca="false">F73*G73</f>
        <v>450</v>
      </c>
      <c r="I73" s="13" t="n">
        <f aca="false">VALUE(Raw_Data!H74)</f>
        <v>209</v>
      </c>
      <c r="J73" s="13" t="n">
        <f aca="false">H73-I73</f>
        <v>241</v>
      </c>
      <c r="K73" s="14" t="n">
        <f aca="false">IFERROR(J73/H73,0)</f>
        <v>0.535555555555556</v>
      </c>
      <c r="L73" s="9" t="str">
        <f aca="false">TEXT(B73,"MMM-YYYY")</f>
        <v>Jun-2026</v>
      </c>
      <c r="M73" s="9" t="n">
        <f aca="false">YEAR(B73)</f>
        <v>2026</v>
      </c>
      <c r="N73" s="9" t="str">
        <f aca="false">IF(TRIM(Raw_Data!I74&amp;"")="","Not Specified",TRIM(Raw_Data!I74))</f>
        <v>UPI</v>
      </c>
      <c r="O73" s="9" t="str">
        <f aca="false">PROPER(TRIM(Raw_Data!J74))</f>
        <v>Completed</v>
      </c>
      <c r="P73" s="9" t="str">
        <f aca="false">IF(O73="Completed","Completed","Not Completed")</f>
        <v>Completed</v>
      </c>
    </row>
    <row r="74" customFormat="false" ht="15" hidden="false" customHeight="false" outlineLevel="0" collapsed="false">
      <c r="A74" s="9" t="str">
        <f aca="false">Raw_Data!A75</f>
        <v>ORD1141</v>
      </c>
      <c r="B74" s="10" t="n">
        <f aca="false">IF(ISNUMBER(Raw_Data!B75),Raw_Data!B75,DATE(VALUE(RIGHT(Raw_Data!B75,4)),VALUE(MID(Raw_Data!B75,4,2)),VALUE(LEFT(Raw_Data!B75,2))))</f>
        <v>46228</v>
      </c>
      <c r="C74" s="9" t="str">
        <f aca="false">IFERROR(INDEX($T$10:$T$11,MATCH(PROPER(TRIM(Raw_Data!C75)),$S$10:$S$11,0)),PROPER(TRIM(Raw_Data!C75)))</f>
        <v>Koramangala</v>
      </c>
      <c r="D74" s="9" t="str">
        <f aca="false">PROPER(TRIM(Raw_Data!D75))</f>
        <v>Espresso</v>
      </c>
      <c r="E74" s="9" t="str">
        <f aca="false">IFERROR(INDEX($T$6:$T$7,MATCH(PROPER(TRIM(Raw_Data!E75)),$S$6:$S$7,0)),PROPER(TRIM(Raw_Data!E75)))</f>
        <v>Hot Beverages</v>
      </c>
      <c r="F74" s="9" t="n">
        <f aca="false">IF(TRIM(Raw_Data!F75&amp;"")="",1,VALUE(Raw_Data!F75))</f>
        <v>1</v>
      </c>
      <c r="G74" s="13" t="n">
        <f aca="false">VALUE(Raw_Data!G75)</f>
        <v>150</v>
      </c>
      <c r="H74" s="13" t="n">
        <f aca="false">F74*G74</f>
        <v>150</v>
      </c>
      <c r="I74" s="13" t="n">
        <f aca="false">VALUE(Raw_Data!H75)</f>
        <v>66</v>
      </c>
      <c r="J74" s="13" t="n">
        <f aca="false">H74-I74</f>
        <v>84</v>
      </c>
      <c r="K74" s="14" t="n">
        <f aca="false">IFERROR(J74/H74,0)</f>
        <v>0.56</v>
      </c>
      <c r="L74" s="9" t="str">
        <f aca="false">TEXT(B74,"MMM-YYYY")</f>
        <v>Jul-2026</v>
      </c>
      <c r="M74" s="9" t="n">
        <f aca="false">YEAR(B74)</f>
        <v>2026</v>
      </c>
      <c r="N74" s="9" t="str">
        <f aca="false">IF(TRIM(Raw_Data!I75&amp;"")="","Not Specified",TRIM(Raw_Data!I75))</f>
        <v>UPI</v>
      </c>
      <c r="O74" s="9" t="str">
        <f aca="false">PROPER(TRIM(Raw_Data!J75))</f>
        <v>Completed</v>
      </c>
      <c r="P74" s="9" t="str">
        <f aca="false">IF(O74="Completed","Completed","Not Completed")</f>
        <v>Completed</v>
      </c>
    </row>
    <row r="75" customFormat="false" ht="15" hidden="false" customHeight="false" outlineLevel="0" collapsed="false">
      <c r="A75" s="9" t="str">
        <f aca="false">Raw_Data!A76</f>
        <v>ORD1186</v>
      </c>
      <c r="B75" s="10" t="n">
        <f aca="false">IF(ISNUMBER(Raw_Data!B76),Raw_Data!B76,DATE(VALUE(RIGHT(Raw_Data!B76,4)),VALUE(MID(Raw_Data!B76,4,2)),VALUE(LEFT(Raw_Data!B76,2))))</f>
        <v>46265</v>
      </c>
      <c r="C75" s="9" t="str">
        <f aca="false">IFERROR(INDEX($T$10:$T$11,MATCH(PROPER(TRIM(Raw_Data!C76)),$S$10:$S$11,0)),PROPER(TRIM(Raw_Data!C76)))</f>
        <v>Whitefield</v>
      </c>
      <c r="D75" s="9" t="str">
        <f aca="false">PROPER(TRIM(Raw_Data!D76))</f>
        <v>Muffin</v>
      </c>
      <c r="E75" s="9" t="str">
        <f aca="false">IFERROR(INDEX($T$6:$T$7,MATCH(PROPER(TRIM(Raw_Data!E76)),$S$6:$S$7,0)),PROPER(TRIM(Raw_Data!E76)))</f>
        <v>Bakery</v>
      </c>
      <c r="F75" s="9" t="n">
        <f aca="false">IF(TRIM(Raw_Data!F76&amp;"")="",1,VALUE(Raw_Data!F76))</f>
        <v>2</v>
      </c>
      <c r="G75" s="13" t="n">
        <f aca="false">VALUE(Raw_Data!G76)</f>
        <v>130</v>
      </c>
      <c r="H75" s="13" t="n">
        <f aca="false">F75*G75</f>
        <v>260</v>
      </c>
      <c r="I75" s="13" t="n">
        <f aca="false">VALUE(Raw_Data!H76)</f>
        <v>123</v>
      </c>
      <c r="J75" s="13" t="n">
        <f aca="false">H75-I75</f>
        <v>137</v>
      </c>
      <c r="K75" s="14" t="n">
        <f aca="false">IFERROR(J75/H75,0)</f>
        <v>0.526923076923077</v>
      </c>
      <c r="L75" s="9" t="str">
        <f aca="false">TEXT(B75,"MMM-YYYY")</f>
        <v>Aug-2026</v>
      </c>
      <c r="M75" s="9" t="n">
        <f aca="false">YEAR(B75)</f>
        <v>2026</v>
      </c>
      <c r="N75" s="9" t="str">
        <f aca="false">IF(TRIM(Raw_Data!I76&amp;"")="","Not Specified",TRIM(Raw_Data!I76))</f>
        <v>UPI</v>
      </c>
      <c r="O75" s="9" t="str">
        <f aca="false">PROPER(TRIM(Raw_Data!J76))</f>
        <v>Completed</v>
      </c>
      <c r="P75" s="9" t="str">
        <f aca="false">IF(O75="Completed","Completed","Not Completed")</f>
        <v>Completed</v>
      </c>
    </row>
    <row r="76" customFormat="false" ht="15" hidden="false" customHeight="false" outlineLevel="0" collapsed="false">
      <c r="A76" s="9" t="str">
        <f aca="false">Raw_Data!A77</f>
        <v>ORD1166</v>
      </c>
      <c r="B76" s="10" t="n">
        <f aca="false">IF(ISNUMBER(Raw_Data!B77),Raw_Data!B77,DATE(VALUE(RIGHT(Raw_Data!B77,4)),VALUE(MID(Raw_Data!B77,4,2)),VALUE(LEFT(Raw_Data!B77,2))))</f>
        <v>46234</v>
      </c>
      <c r="C76" s="9" t="str">
        <f aca="false">IFERROR(INDEX($T$10:$T$11,MATCH(PROPER(TRIM(Raw_Data!C77)),$S$10:$S$11,0)),PROPER(TRIM(Raw_Data!C77)))</f>
        <v>Indiranagar</v>
      </c>
      <c r="D76" s="9" t="str">
        <f aca="false">PROPER(TRIM(Raw_Data!D77))</f>
        <v>Hot Chocolate</v>
      </c>
      <c r="E76" s="9" t="str">
        <f aca="false">IFERROR(INDEX($T$6:$T$7,MATCH(PROPER(TRIM(Raw_Data!E77)),$S$6:$S$7,0)),PROPER(TRIM(Raw_Data!E77)))</f>
        <v>Hot Beverages</v>
      </c>
      <c r="F76" s="9" t="n">
        <f aca="false">IF(TRIM(Raw_Data!F77&amp;"")="",1,VALUE(Raw_Data!F77))</f>
        <v>1</v>
      </c>
      <c r="G76" s="13" t="n">
        <f aca="false">VALUE(Raw_Data!G77)</f>
        <v>170</v>
      </c>
      <c r="H76" s="13" t="n">
        <f aca="false">F76*G76</f>
        <v>170</v>
      </c>
      <c r="I76" s="13" t="n">
        <f aca="false">VALUE(Raw_Data!H77)</f>
        <v>73</v>
      </c>
      <c r="J76" s="13" t="n">
        <f aca="false">H76-I76</f>
        <v>97</v>
      </c>
      <c r="K76" s="14" t="n">
        <f aca="false">IFERROR(J76/H76,0)</f>
        <v>0.570588235294118</v>
      </c>
      <c r="L76" s="9" t="str">
        <f aca="false">TEXT(B76,"MMM-YYYY")</f>
        <v>Jul-2026</v>
      </c>
      <c r="M76" s="9" t="n">
        <f aca="false">YEAR(B76)</f>
        <v>2026</v>
      </c>
      <c r="N76" s="9" t="str">
        <f aca="false">IF(TRIM(Raw_Data!I77&amp;"")="","Not Specified",TRIM(Raw_Data!I77))</f>
        <v>Cash</v>
      </c>
      <c r="O76" s="9" t="str">
        <f aca="false">PROPER(TRIM(Raw_Data!J77))</f>
        <v>Completed</v>
      </c>
      <c r="P76" s="9" t="str">
        <f aca="false">IF(O76="Completed","Completed","Not Completed")</f>
        <v>Completed</v>
      </c>
    </row>
    <row r="77" customFormat="false" ht="15" hidden="false" customHeight="false" outlineLevel="0" collapsed="false">
      <c r="A77" s="9" t="str">
        <f aca="false">Raw_Data!A78</f>
        <v>ORD1089</v>
      </c>
      <c r="B77" s="10" t="n">
        <f aca="false">IF(ISNUMBER(Raw_Data!B78),Raw_Data!B78,DATE(VALUE(RIGHT(Raw_Data!B78,4)),VALUE(MID(Raw_Data!B78,4,2)),VALUE(LEFT(Raw_Data!B78,2))))</f>
        <v>46244</v>
      </c>
      <c r="C77" s="9" t="str">
        <f aca="false">IFERROR(INDEX($T$10:$T$11,MATCH(PROPER(TRIM(Raw_Data!C78)),$S$10:$S$11,0)),PROPER(TRIM(Raw_Data!C78)))</f>
        <v>Indiranagar</v>
      </c>
      <c r="D77" s="9" t="str">
        <f aca="false">PROPER(TRIM(Raw_Data!D78))</f>
        <v>Espresso</v>
      </c>
      <c r="E77" s="9" t="str">
        <f aca="false">IFERROR(INDEX($T$6:$T$7,MATCH(PROPER(TRIM(Raw_Data!E78)),$S$6:$S$7,0)),PROPER(TRIM(Raw_Data!E78)))</f>
        <v>Hot Beverages</v>
      </c>
      <c r="F77" s="9" t="n">
        <f aca="false">IF(TRIM(Raw_Data!F78&amp;"")="",1,VALUE(Raw_Data!F78))</f>
        <v>1</v>
      </c>
      <c r="G77" s="13" t="n">
        <f aca="false">VALUE(Raw_Data!G78)</f>
        <v>150</v>
      </c>
      <c r="H77" s="13" t="n">
        <f aca="false">F77*G77</f>
        <v>150</v>
      </c>
      <c r="I77" s="13" t="n">
        <f aca="false">VALUE(Raw_Data!H78)</f>
        <v>63</v>
      </c>
      <c r="J77" s="13" t="n">
        <f aca="false">H77-I77</f>
        <v>87</v>
      </c>
      <c r="K77" s="14" t="n">
        <f aca="false">IFERROR(J77/H77,0)</f>
        <v>0.58</v>
      </c>
      <c r="L77" s="9" t="str">
        <f aca="false">TEXT(B77,"MMM-YYYY")</f>
        <v>Aug-2026</v>
      </c>
      <c r="M77" s="9" t="n">
        <f aca="false">YEAR(B77)</f>
        <v>2026</v>
      </c>
      <c r="N77" s="9" t="str">
        <f aca="false">IF(TRIM(Raw_Data!I78&amp;"")="","Not Specified",TRIM(Raw_Data!I78))</f>
        <v>UPI</v>
      </c>
      <c r="O77" s="9" t="str">
        <f aca="false">PROPER(TRIM(Raw_Data!J78))</f>
        <v>Completed</v>
      </c>
      <c r="P77" s="9" t="str">
        <f aca="false">IF(O77="Completed","Completed","Not Completed")</f>
        <v>Completed</v>
      </c>
    </row>
    <row r="78" customFormat="false" ht="15" hidden="false" customHeight="false" outlineLevel="0" collapsed="false">
      <c r="A78" s="9" t="str">
        <f aca="false">Raw_Data!A79</f>
        <v>ORD1155</v>
      </c>
      <c r="B78" s="10" t="n">
        <f aca="false">IF(ISNUMBER(Raw_Data!B79),Raw_Data!B79,DATE(VALUE(RIGHT(Raw_Data!B79,4)),VALUE(MID(Raw_Data!B79,4,2)),VALUE(LEFT(Raw_Data!B79,2))))</f>
        <v>46195</v>
      </c>
      <c r="C78" s="9" t="str">
        <f aca="false">IFERROR(INDEX($T$10:$T$11,MATCH(PROPER(TRIM(Raw_Data!C79)),$S$10:$S$11,0)),PROPER(TRIM(Raw_Data!C79)))</f>
        <v>Indiranagar</v>
      </c>
      <c r="D78" s="9" t="str">
        <f aca="false">PROPER(TRIM(Raw_Data!D79))</f>
        <v>Espresso</v>
      </c>
      <c r="E78" s="9" t="str">
        <f aca="false">IFERROR(INDEX($T$6:$T$7,MATCH(PROPER(TRIM(Raw_Data!E79)),$S$6:$S$7,0)),PROPER(TRIM(Raw_Data!E79)))</f>
        <v>Hot Beverages</v>
      </c>
      <c r="F78" s="9" t="n">
        <f aca="false">IF(TRIM(Raw_Data!F79&amp;"")="",1,VALUE(Raw_Data!F79))</f>
        <v>3</v>
      </c>
      <c r="G78" s="13" t="n">
        <f aca="false">VALUE(Raw_Data!G79)</f>
        <v>150</v>
      </c>
      <c r="H78" s="13" t="n">
        <f aca="false">F78*G78</f>
        <v>450</v>
      </c>
      <c r="I78" s="13" t="n">
        <f aca="false">VALUE(Raw_Data!H79)</f>
        <v>185</v>
      </c>
      <c r="J78" s="13" t="n">
        <f aca="false">H78-I78</f>
        <v>265</v>
      </c>
      <c r="K78" s="14" t="n">
        <f aca="false">IFERROR(J78/H78,0)</f>
        <v>0.588888888888889</v>
      </c>
      <c r="L78" s="9" t="str">
        <f aca="false">TEXT(B78,"MMM-YYYY")</f>
        <v>Jun-2026</v>
      </c>
      <c r="M78" s="9" t="n">
        <f aca="false">YEAR(B78)</f>
        <v>2026</v>
      </c>
      <c r="N78" s="9" t="str">
        <f aca="false">IF(TRIM(Raw_Data!I79&amp;"")="","Not Specified",TRIM(Raw_Data!I79))</f>
        <v>UPI</v>
      </c>
      <c r="O78" s="9" t="str">
        <f aca="false">PROPER(TRIM(Raw_Data!J79))</f>
        <v>Completed</v>
      </c>
      <c r="P78" s="9" t="str">
        <f aca="false">IF(O78="Completed","Completed","Not Completed")</f>
        <v>Completed</v>
      </c>
    </row>
    <row r="79" customFormat="false" ht="15" hidden="false" customHeight="false" outlineLevel="0" collapsed="false">
      <c r="A79" s="9" t="str">
        <f aca="false">Raw_Data!A81</f>
        <v>ORD1001</v>
      </c>
      <c r="B79" s="10" t="n">
        <f aca="false">IF(ISNUMBER(Raw_Data!B81),Raw_Data!B81,DATE(VALUE(RIGHT(Raw_Data!B81,4)),VALUE(MID(Raw_Data!B81,4,2)),VALUE(LEFT(Raw_Data!B81,2))))</f>
        <v>46215</v>
      </c>
      <c r="C79" s="9" t="str">
        <f aca="false">IFERROR(INDEX($T$10:$T$11,MATCH(PROPER(TRIM(Raw_Data!C81)),$S$10:$S$11,0)),PROPER(TRIM(Raw_Data!C81)))</f>
        <v>Indiranagar</v>
      </c>
      <c r="D79" s="9" t="str">
        <f aca="false">PROPER(TRIM(Raw_Data!D81))</f>
        <v>Danish Pastry</v>
      </c>
      <c r="E79" s="9" t="str">
        <f aca="false">IFERROR(INDEX($T$6:$T$7,MATCH(PROPER(TRIM(Raw_Data!E81)),$S$6:$S$7,0)),PROPER(TRIM(Raw_Data!E81)))</f>
        <v>Bakery</v>
      </c>
      <c r="F79" s="9" t="n">
        <f aca="false">IF(TRIM(Raw_Data!F81&amp;"")="",1,VALUE(Raw_Data!F81))</f>
        <v>2</v>
      </c>
      <c r="G79" s="13" t="n">
        <f aca="false">VALUE(Raw_Data!G81)</f>
        <v>160</v>
      </c>
      <c r="H79" s="13" t="n">
        <f aca="false">F79*G79</f>
        <v>320</v>
      </c>
      <c r="I79" s="13" t="n">
        <f aca="false">VALUE(Raw_Data!H81)</f>
        <v>131</v>
      </c>
      <c r="J79" s="13" t="n">
        <f aca="false">H79-I79</f>
        <v>189</v>
      </c>
      <c r="K79" s="14" t="n">
        <f aca="false">IFERROR(J79/H79,0)</f>
        <v>0.590625</v>
      </c>
      <c r="L79" s="9" t="str">
        <f aca="false">TEXT(B79,"MMM-YYYY")</f>
        <v>Jul-2026</v>
      </c>
      <c r="M79" s="9" t="n">
        <f aca="false">YEAR(B79)</f>
        <v>2026</v>
      </c>
      <c r="N79" s="9" t="str">
        <f aca="false">IF(TRIM(Raw_Data!I81&amp;"")="","Not Specified",TRIM(Raw_Data!I81))</f>
        <v>UPI</v>
      </c>
      <c r="O79" s="9" t="str">
        <f aca="false">PROPER(TRIM(Raw_Data!J81))</f>
        <v>Completed</v>
      </c>
      <c r="P79" s="9" t="str">
        <f aca="false">IF(O79="Completed","Completed","Not Completed")</f>
        <v>Completed</v>
      </c>
    </row>
    <row r="80" customFormat="false" ht="15" hidden="false" customHeight="false" outlineLevel="0" collapsed="false">
      <c r="A80" s="9" t="str">
        <f aca="false">Raw_Data!A82</f>
        <v>ORD1171</v>
      </c>
      <c r="B80" s="10" t="n">
        <f aca="false">IF(ISNUMBER(Raw_Data!B82),Raw_Data!B82,DATE(VALUE(RIGHT(Raw_Data!B82,4)),VALUE(MID(Raw_Data!B82,4,2)),VALUE(LEFT(Raw_Data!B82,2))))</f>
        <v>46256</v>
      </c>
      <c r="C80" s="9" t="str">
        <f aca="false">IFERROR(INDEX($T$10:$T$11,MATCH(PROPER(TRIM(Raw_Data!C82)),$S$10:$S$11,0)),PROPER(TRIM(Raw_Data!C82)))</f>
        <v>HSR Layout</v>
      </c>
      <c r="D80" s="9" t="str">
        <f aca="false">PROPER(TRIM(Raw_Data!D82))</f>
        <v>Cold Brew</v>
      </c>
      <c r="E80" s="9" t="str">
        <f aca="false">IFERROR(INDEX($T$6:$T$7,MATCH(PROPER(TRIM(Raw_Data!E82)),$S$6:$S$7,0)),PROPER(TRIM(Raw_Data!E82)))</f>
        <v>Cold Beverages</v>
      </c>
      <c r="F80" s="9" t="n">
        <f aca="false">IF(TRIM(Raw_Data!F82&amp;"")="",1,VALUE(Raw_Data!F82))</f>
        <v>2</v>
      </c>
      <c r="G80" s="13" t="n">
        <f aca="false">VALUE(Raw_Data!G82)</f>
        <v>220</v>
      </c>
      <c r="H80" s="13" t="n">
        <f aca="false">F80*G80</f>
        <v>440</v>
      </c>
      <c r="I80" s="13" t="n">
        <f aca="false">VALUE(Raw_Data!H82)</f>
        <v>170</v>
      </c>
      <c r="J80" s="13" t="n">
        <f aca="false">H80-I80</f>
        <v>270</v>
      </c>
      <c r="K80" s="14" t="n">
        <f aca="false">IFERROR(J80/H80,0)</f>
        <v>0.613636363636364</v>
      </c>
      <c r="L80" s="9" t="str">
        <f aca="false">TEXT(B80,"MMM-YYYY")</f>
        <v>Aug-2026</v>
      </c>
      <c r="M80" s="9" t="n">
        <f aca="false">YEAR(B80)</f>
        <v>2026</v>
      </c>
      <c r="N80" s="9" t="str">
        <f aca="false">IF(TRIM(Raw_Data!I82&amp;"")="","Not Specified",TRIM(Raw_Data!I82))</f>
        <v>Cash</v>
      </c>
      <c r="O80" s="9" t="str">
        <f aca="false">PROPER(TRIM(Raw_Data!J82))</f>
        <v>Cancelled</v>
      </c>
      <c r="P80" s="9" t="str">
        <f aca="false">IF(O80="Completed","Completed","Not Completed")</f>
        <v>Not Completed</v>
      </c>
    </row>
    <row r="81" customFormat="false" ht="15" hidden="false" customHeight="false" outlineLevel="0" collapsed="false">
      <c r="A81" s="9" t="str">
        <f aca="false">Raw_Data!A83</f>
        <v>ORD1035</v>
      </c>
      <c r="B81" s="10" t="n">
        <f aca="false">IF(ISNUMBER(Raw_Data!B83),Raw_Data!B83,DATE(VALUE(RIGHT(Raw_Data!B83,4)),VALUE(MID(Raw_Data!B83,4,2)),VALUE(LEFT(Raw_Data!B83,2))))</f>
        <v>46258</v>
      </c>
      <c r="C81" s="9" t="str">
        <f aca="false">IFERROR(INDEX($T$10:$T$11,MATCH(PROPER(TRIM(Raw_Data!C83)),$S$10:$S$11,0)),PROPER(TRIM(Raw_Data!C83)))</f>
        <v>Whitefield</v>
      </c>
      <c r="D81" s="9" t="str">
        <f aca="false">PROPER(TRIM(Raw_Data!D83))</f>
        <v>Hot Chocolate</v>
      </c>
      <c r="E81" s="9" t="str">
        <f aca="false">IFERROR(INDEX($T$6:$T$7,MATCH(PROPER(TRIM(Raw_Data!E83)),$S$6:$S$7,0)),PROPER(TRIM(Raw_Data!E83)))</f>
        <v>Hot Beverages</v>
      </c>
      <c r="F81" s="9" t="n">
        <f aca="false">IF(TRIM(Raw_Data!F83&amp;"")="",1,VALUE(Raw_Data!F83))</f>
        <v>2</v>
      </c>
      <c r="G81" s="13" t="n">
        <f aca="false">VALUE(Raw_Data!G83)</f>
        <v>170</v>
      </c>
      <c r="H81" s="13" t="n">
        <f aca="false">F81*G81</f>
        <v>340</v>
      </c>
      <c r="I81" s="13" t="n">
        <f aca="false">VALUE(Raw_Data!H83)</f>
        <v>123</v>
      </c>
      <c r="J81" s="13" t="n">
        <f aca="false">H81-I81</f>
        <v>217</v>
      </c>
      <c r="K81" s="14" t="n">
        <f aca="false">IFERROR(J81/H81,0)</f>
        <v>0.638235294117647</v>
      </c>
      <c r="L81" s="9" t="str">
        <f aca="false">TEXT(B81,"MMM-YYYY")</f>
        <v>Aug-2026</v>
      </c>
      <c r="M81" s="9" t="n">
        <f aca="false">YEAR(B81)</f>
        <v>2026</v>
      </c>
      <c r="N81" s="9" t="str">
        <f aca="false">IF(TRIM(Raw_Data!I83&amp;"")="","Not Specified",TRIM(Raw_Data!I83))</f>
        <v>UPI</v>
      </c>
      <c r="O81" s="9" t="str">
        <f aca="false">PROPER(TRIM(Raw_Data!J83))</f>
        <v>Cancelled</v>
      </c>
      <c r="P81" s="9" t="str">
        <f aca="false">IF(O81="Completed","Completed","Not Completed")</f>
        <v>Not Completed</v>
      </c>
    </row>
    <row r="82" customFormat="false" ht="15" hidden="false" customHeight="false" outlineLevel="0" collapsed="false">
      <c r="A82" s="9" t="str">
        <f aca="false">Raw_Data!A84</f>
        <v>ORD1128</v>
      </c>
      <c r="B82" s="10" t="n">
        <f aca="false">IF(ISNUMBER(Raw_Data!B84),Raw_Data!B84,DATE(VALUE(RIGHT(Raw_Data!B84,4)),VALUE(MID(Raw_Data!B84,4,2)),VALUE(LEFT(Raw_Data!B84,2))))</f>
        <v>46259</v>
      </c>
      <c r="C82" s="9" t="str">
        <f aca="false">IFERROR(INDEX($T$10:$T$11,MATCH(PROPER(TRIM(Raw_Data!C84)),$S$10:$S$11,0)),PROPER(TRIM(Raw_Data!C84)))</f>
        <v>Koramangala</v>
      </c>
      <c r="D82" s="9" t="str">
        <f aca="false">PROPER(TRIM(Raw_Data!D84))</f>
        <v>Croissant</v>
      </c>
      <c r="E82" s="9" t="str">
        <f aca="false">IFERROR(INDEX($T$6:$T$7,MATCH(PROPER(TRIM(Raw_Data!E84)),$S$6:$S$7,0)),PROPER(TRIM(Raw_Data!E84)))</f>
        <v>Bakery</v>
      </c>
      <c r="F82" s="9" t="n">
        <f aca="false">IF(TRIM(Raw_Data!F84&amp;"")="",1,VALUE(Raw_Data!F84))</f>
        <v>1</v>
      </c>
      <c r="G82" s="13" t="n">
        <f aca="false">VALUE(Raw_Data!G84)</f>
        <v>140</v>
      </c>
      <c r="H82" s="13" t="n">
        <f aca="false">F82*G82</f>
        <v>140</v>
      </c>
      <c r="I82" s="13" t="n">
        <f aca="false">VALUE(Raw_Data!H84)</f>
        <v>66</v>
      </c>
      <c r="J82" s="13" t="n">
        <f aca="false">H82-I82</f>
        <v>74</v>
      </c>
      <c r="K82" s="14" t="n">
        <f aca="false">IFERROR(J82/H82,0)</f>
        <v>0.528571428571429</v>
      </c>
      <c r="L82" s="9" t="str">
        <f aca="false">TEXT(B82,"MMM-YYYY")</f>
        <v>Aug-2026</v>
      </c>
      <c r="M82" s="9" t="n">
        <f aca="false">YEAR(B82)</f>
        <v>2026</v>
      </c>
      <c r="N82" s="9" t="str">
        <f aca="false">IF(TRIM(Raw_Data!I84&amp;"")="","Not Specified",TRIM(Raw_Data!I84))</f>
        <v>UPI</v>
      </c>
      <c r="O82" s="9" t="str">
        <f aca="false">PROPER(TRIM(Raw_Data!J84))</f>
        <v>Completed</v>
      </c>
      <c r="P82" s="9" t="str">
        <f aca="false">IF(O82="Completed","Completed","Not Completed")</f>
        <v>Completed</v>
      </c>
    </row>
    <row r="83" customFormat="false" ht="15" hidden="false" customHeight="false" outlineLevel="0" collapsed="false">
      <c r="A83" s="9" t="str">
        <f aca="false">Raw_Data!A85</f>
        <v>ORD1165</v>
      </c>
      <c r="B83" s="10" t="n">
        <f aca="false">IF(ISNUMBER(Raw_Data!B85),Raw_Data!B85,DATE(VALUE(RIGHT(Raw_Data!B85,4)),VALUE(MID(Raw_Data!B85,4,2)),VALUE(LEFT(Raw_Data!B85,2))))</f>
        <v>46242</v>
      </c>
      <c r="C83" s="9" t="str">
        <f aca="false">IFERROR(INDEX($T$10:$T$11,MATCH(PROPER(TRIM(Raw_Data!C85)),$S$10:$S$11,0)),PROPER(TRIM(Raw_Data!C85)))</f>
        <v>Indiranagar</v>
      </c>
      <c r="D83" s="9" t="str">
        <f aca="false">PROPER(TRIM(Raw_Data!D85))</f>
        <v>Sandwich</v>
      </c>
      <c r="E83" s="9" t="str">
        <f aca="false">IFERROR(INDEX($T$6:$T$7,MATCH(PROPER(TRIM(Raw_Data!E85)),$S$6:$S$7,0)),PROPER(TRIM(Raw_Data!E85)))</f>
        <v>Snacks</v>
      </c>
      <c r="F83" s="9" t="n">
        <f aca="false">IF(TRIM(Raw_Data!F85&amp;"")="",1,VALUE(Raw_Data!F85))</f>
        <v>2</v>
      </c>
      <c r="G83" s="13" t="n">
        <f aca="false">VALUE(Raw_Data!G85)</f>
        <v>190</v>
      </c>
      <c r="H83" s="13" t="n">
        <f aca="false">F83*G83</f>
        <v>380</v>
      </c>
      <c r="I83" s="13" t="n">
        <f aca="false">VALUE(Raw_Data!H85)</f>
        <v>189</v>
      </c>
      <c r="J83" s="13" t="n">
        <f aca="false">H83-I83</f>
        <v>191</v>
      </c>
      <c r="K83" s="14" t="n">
        <f aca="false">IFERROR(J83/H83,0)</f>
        <v>0.502631578947368</v>
      </c>
      <c r="L83" s="9" t="str">
        <f aca="false">TEXT(B83,"MMM-YYYY")</f>
        <v>Aug-2026</v>
      </c>
      <c r="M83" s="9" t="n">
        <f aca="false">YEAR(B83)</f>
        <v>2026</v>
      </c>
      <c r="N83" s="9" t="str">
        <f aca="false">IF(TRIM(Raw_Data!I85&amp;"")="","Not Specified",TRIM(Raw_Data!I85))</f>
        <v>UPI</v>
      </c>
      <c r="O83" s="9" t="str">
        <f aca="false">PROPER(TRIM(Raw_Data!J85))</f>
        <v>Completed</v>
      </c>
      <c r="P83" s="9" t="str">
        <f aca="false">IF(O83="Completed","Completed","Not Completed")</f>
        <v>Completed</v>
      </c>
    </row>
    <row r="84" customFormat="false" ht="15" hidden="false" customHeight="false" outlineLevel="0" collapsed="false">
      <c r="A84" s="9" t="str">
        <f aca="false">Raw_Data!A86</f>
        <v>ORD1069</v>
      </c>
      <c r="B84" s="10" t="n">
        <f aca="false">IF(ISNUMBER(Raw_Data!B86),Raw_Data!B86,DATE(VALUE(RIGHT(Raw_Data!B86,4)),VALUE(MID(Raw_Data!B86,4,2)),VALUE(LEFT(Raw_Data!B86,2))))</f>
        <v>46253</v>
      </c>
      <c r="C84" s="9" t="str">
        <f aca="false">IFERROR(INDEX($T$10:$T$11,MATCH(PROPER(TRIM(Raw_Data!C86)),$S$10:$S$11,0)),PROPER(TRIM(Raw_Data!C86)))</f>
        <v>Indiranagar</v>
      </c>
      <c r="D84" s="9" t="str">
        <f aca="false">PROPER(TRIM(Raw_Data!D86))</f>
        <v>Latte</v>
      </c>
      <c r="E84" s="9" t="str">
        <f aca="false">IFERROR(INDEX($T$6:$T$7,MATCH(PROPER(TRIM(Raw_Data!E86)),$S$6:$S$7,0)),PROPER(TRIM(Raw_Data!E86)))</f>
        <v>Hot Beverages</v>
      </c>
      <c r="F84" s="9" t="n">
        <f aca="false">IF(TRIM(Raw_Data!F86&amp;"")="",1,VALUE(Raw_Data!F86))</f>
        <v>3</v>
      </c>
      <c r="G84" s="13" t="n">
        <f aca="false">VALUE(Raw_Data!G86)</f>
        <v>190</v>
      </c>
      <c r="H84" s="13" t="n">
        <f aca="false">F84*G84</f>
        <v>570</v>
      </c>
      <c r="I84" s="13" t="n">
        <f aca="false">VALUE(Raw_Data!H86)</f>
        <v>240</v>
      </c>
      <c r="J84" s="13" t="n">
        <f aca="false">H84-I84</f>
        <v>330</v>
      </c>
      <c r="K84" s="14" t="n">
        <f aca="false">IFERROR(J84/H84,0)</f>
        <v>0.578947368421053</v>
      </c>
      <c r="L84" s="9" t="str">
        <f aca="false">TEXT(B84,"MMM-YYYY")</f>
        <v>Aug-2026</v>
      </c>
      <c r="M84" s="9" t="n">
        <f aca="false">YEAR(B84)</f>
        <v>2026</v>
      </c>
      <c r="N84" s="9" t="str">
        <f aca="false">IF(TRIM(Raw_Data!I86&amp;"")="","Not Specified",TRIM(Raw_Data!I86))</f>
        <v>UPI</v>
      </c>
      <c r="O84" s="9" t="str">
        <f aca="false">PROPER(TRIM(Raw_Data!J86))</f>
        <v>Completed</v>
      </c>
      <c r="P84" s="9" t="str">
        <f aca="false">IF(O84="Completed","Completed","Not Completed")</f>
        <v>Completed</v>
      </c>
    </row>
    <row r="85" customFormat="false" ht="15" hidden="false" customHeight="false" outlineLevel="0" collapsed="false">
      <c r="A85" s="9" t="str">
        <f aca="false">Raw_Data!A87</f>
        <v>ORD1098</v>
      </c>
      <c r="B85" s="10" t="n">
        <f aca="false">IF(ISNUMBER(Raw_Data!B87),Raw_Data!B87,DATE(VALUE(RIGHT(Raw_Data!B87,4)),VALUE(MID(Raw_Data!B87,4,2)),VALUE(LEFT(Raw_Data!B87,2))))</f>
        <v>46213</v>
      </c>
      <c r="C85" s="9" t="str">
        <f aca="false">IFERROR(INDEX($T$10:$T$11,MATCH(PROPER(TRIM(Raw_Data!C87)),$S$10:$S$11,0)),PROPER(TRIM(Raw_Data!C87)))</f>
        <v>Koramangala</v>
      </c>
      <c r="D85" s="9" t="str">
        <f aca="false">PROPER(TRIM(Raw_Data!D87))</f>
        <v>Hot Chocolate</v>
      </c>
      <c r="E85" s="9" t="str">
        <f aca="false">IFERROR(INDEX($T$6:$T$7,MATCH(PROPER(TRIM(Raw_Data!E87)),$S$6:$S$7,0)),PROPER(TRIM(Raw_Data!E87)))</f>
        <v>Hot Beverages</v>
      </c>
      <c r="F85" s="9" t="n">
        <f aca="false">IF(TRIM(Raw_Data!F87&amp;"")="",1,VALUE(Raw_Data!F87))</f>
        <v>1</v>
      </c>
      <c r="G85" s="13" t="n">
        <f aca="false">VALUE(Raw_Data!G87)</f>
        <v>170</v>
      </c>
      <c r="H85" s="13" t="n">
        <f aca="false">F85*G85</f>
        <v>170</v>
      </c>
      <c r="I85" s="13" t="n">
        <f aca="false">VALUE(Raw_Data!H87)</f>
        <v>72</v>
      </c>
      <c r="J85" s="13" t="n">
        <f aca="false">H85-I85</f>
        <v>98</v>
      </c>
      <c r="K85" s="14" t="n">
        <f aca="false">IFERROR(J85/H85,0)</f>
        <v>0.576470588235294</v>
      </c>
      <c r="L85" s="9" t="str">
        <f aca="false">TEXT(B85,"MMM-YYYY")</f>
        <v>Jul-2026</v>
      </c>
      <c r="M85" s="9" t="n">
        <f aca="false">YEAR(B85)</f>
        <v>2026</v>
      </c>
      <c r="N85" s="9" t="str">
        <f aca="false">IF(TRIM(Raw_Data!I87&amp;"")="","Not Specified",TRIM(Raw_Data!I87))</f>
        <v>Card</v>
      </c>
      <c r="O85" s="9" t="str">
        <f aca="false">PROPER(TRIM(Raw_Data!J87))</f>
        <v>Completed</v>
      </c>
      <c r="P85" s="9" t="str">
        <f aca="false">IF(O85="Completed","Completed","Not Completed")</f>
        <v>Completed</v>
      </c>
    </row>
    <row r="86" customFormat="false" ht="15" hidden="false" customHeight="false" outlineLevel="0" collapsed="false">
      <c r="A86" s="9" t="str">
        <f aca="false">Raw_Data!A88</f>
        <v>ORD1011</v>
      </c>
      <c r="B86" s="10" t="n">
        <f aca="false">IF(ISNUMBER(Raw_Data!B88),Raw_Data!B88,DATE(VALUE(RIGHT(Raw_Data!B88,4)),VALUE(MID(Raw_Data!B88,4,2)),VALUE(LEFT(Raw_Data!B88,2))))</f>
        <v>46182</v>
      </c>
      <c r="C86" s="9" t="str">
        <f aca="false">IFERROR(INDEX($T$10:$T$11,MATCH(PROPER(TRIM(Raw_Data!C88)),$S$10:$S$11,0)),PROPER(TRIM(Raw_Data!C88)))</f>
        <v>Koramangala</v>
      </c>
      <c r="D86" s="9" t="str">
        <f aca="false">PROPER(TRIM(Raw_Data!D88))</f>
        <v>Iced Tea</v>
      </c>
      <c r="E86" s="9" t="str">
        <f aca="false">IFERROR(INDEX($T$6:$T$7,MATCH(PROPER(TRIM(Raw_Data!E88)),$S$6:$S$7,0)),PROPER(TRIM(Raw_Data!E88)))</f>
        <v>Cold Beverages</v>
      </c>
      <c r="F86" s="9" t="n">
        <f aca="false">IF(TRIM(Raw_Data!F88&amp;"")="",1,VALUE(Raw_Data!F88))</f>
        <v>2</v>
      </c>
      <c r="G86" s="13" t="n">
        <f aca="false">VALUE(Raw_Data!G88)</f>
        <v>150</v>
      </c>
      <c r="H86" s="13" t="n">
        <f aca="false">F86*G86</f>
        <v>300</v>
      </c>
      <c r="I86" s="13" t="n">
        <f aca="false">VALUE(Raw_Data!H88)</f>
        <v>134</v>
      </c>
      <c r="J86" s="13" t="n">
        <f aca="false">H86-I86</f>
        <v>166</v>
      </c>
      <c r="K86" s="14" t="n">
        <f aca="false">IFERROR(J86/H86,0)</f>
        <v>0.553333333333333</v>
      </c>
      <c r="L86" s="9" t="str">
        <f aca="false">TEXT(B86,"MMM-YYYY")</f>
        <v>Jun-2026</v>
      </c>
      <c r="M86" s="9" t="n">
        <f aca="false">YEAR(B86)</f>
        <v>2026</v>
      </c>
      <c r="N86" s="9" t="str">
        <f aca="false">IF(TRIM(Raw_Data!I88&amp;"")="","Not Specified",TRIM(Raw_Data!I88))</f>
        <v>UPI</v>
      </c>
      <c r="O86" s="9" t="str">
        <f aca="false">PROPER(TRIM(Raw_Data!J88))</f>
        <v>Completed</v>
      </c>
      <c r="P86" s="9" t="str">
        <f aca="false">IF(O86="Completed","Completed","Not Completed")</f>
        <v>Completed</v>
      </c>
    </row>
    <row r="87" customFormat="false" ht="15" hidden="false" customHeight="false" outlineLevel="0" collapsed="false">
      <c r="A87" s="9" t="str">
        <f aca="false">Raw_Data!A89</f>
        <v>ORD1190</v>
      </c>
      <c r="B87" s="10" t="n">
        <f aca="false">IF(ISNUMBER(Raw_Data!B89),Raw_Data!B89,DATE(VALUE(RIGHT(Raw_Data!B89,4)),VALUE(MID(Raw_Data!B89,4,2)),VALUE(LEFT(Raw_Data!B89,2))))</f>
        <v>46237</v>
      </c>
      <c r="C87" s="9" t="str">
        <f aca="false">IFERROR(INDEX($T$10:$T$11,MATCH(PROPER(TRIM(Raw_Data!C89)),$S$10:$S$11,0)),PROPER(TRIM(Raw_Data!C89)))</f>
        <v>Whitefield</v>
      </c>
      <c r="D87" s="9" t="str">
        <f aca="false">PROPER(TRIM(Raw_Data!D89))</f>
        <v>Nachos</v>
      </c>
      <c r="E87" s="9" t="str">
        <f aca="false">IFERROR(INDEX($T$6:$T$7,MATCH(PROPER(TRIM(Raw_Data!E89)),$S$6:$S$7,0)),PROPER(TRIM(Raw_Data!E89)))</f>
        <v>Snacks</v>
      </c>
      <c r="F87" s="9" t="n">
        <f aca="false">IF(TRIM(Raw_Data!F89&amp;"")="",1,VALUE(Raw_Data!F89))</f>
        <v>1</v>
      </c>
      <c r="G87" s="13" t="n">
        <f aca="false">VALUE(Raw_Data!G89)</f>
        <v>170</v>
      </c>
      <c r="H87" s="13" t="n">
        <f aca="false">F87*G87</f>
        <v>170</v>
      </c>
      <c r="I87" s="13" t="n">
        <f aca="false">VALUE(Raw_Data!H89)</f>
        <v>92</v>
      </c>
      <c r="J87" s="13" t="n">
        <f aca="false">H87-I87</f>
        <v>78</v>
      </c>
      <c r="K87" s="14" t="n">
        <f aca="false">IFERROR(J87/H87,0)</f>
        <v>0.458823529411765</v>
      </c>
      <c r="L87" s="9" t="str">
        <f aca="false">TEXT(B87,"MMM-YYYY")</f>
        <v>Aug-2026</v>
      </c>
      <c r="M87" s="9" t="n">
        <f aca="false">YEAR(B87)</f>
        <v>2026</v>
      </c>
      <c r="N87" s="9" t="str">
        <f aca="false">IF(TRIM(Raw_Data!I89&amp;"")="","Not Specified",TRIM(Raw_Data!I89))</f>
        <v>UPI</v>
      </c>
      <c r="O87" s="9" t="str">
        <f aca="false">PROPER(TRIM(Raw_Data!J89))</f>
        <v>Completed</v>
      </c>
      <c r="P87" s="9" t="str">
        <f aca="false">IF(O87="Completed","Completed","Not Completed")</f>
        <v>Completed</v>
      </c>
    </row>
    <row r="88" customFormat="false" ht="15" hidden="false" customHeight="false" outlineLevel="0" collapsed="false">
      <c r="A88" s="9" t="str">
        <f aca="false">Raw_Data!A90</f>
        <v>ORD1142</v>
      </c>
      <c r="B88" s="10" t="n">
        <f aca="false">IF(ISNUMBER(Raw_Data!B90),Raw_Data!B90,DATE(VALUE(RIGHT(Raw_Data!B90,4)),VALUE(MID(Raw_Data!B90,4,2)),VALUE(LEFT(Raw_Data!B90,2))))</f>
        <v>46175</v>
      </c>
      <c r="C88" s="9" t="str">
        <f aca="false">IFERROR(INDEX($T$10:$T$11,MATCH(PROPER(TRIM(Raw_Data!C90)),$S$10:$S$11,0)),PROPER(TRIM(Raw_Data!C90)))</f>
        <v>Koramangala</v>
      </c>
      <c r="D88" s="9" t="str">
        <f aca="false">PROPER(TRIM(Raw_Data!D90))</f>
        <v>Hot Chocolate</v>
      </c>
      <c r="E88" s="9" t="str">
        <f aca="false">IFERROR(INDEX($T$6:$T$7,MATCH(PROPER(TRIM(Raw_Data!E90)),$S$6:$S$7,0)),PROPER(TRIM(Raw_Data!E90)))</f>
        <v>Hot Beverages</v>
      </c>
      <c r="F88" s="9" t="n">
        <f aca="false">IF(TRIM(Raw_Data!F90&amp;"")="",1,VALUE(Raw_Data!F90))</f>
        <v>2</v>
      </c>
      <c r="G88" s="13" t="n">
        <f aca="false">VALUE(Raw_Data!G90)</f>
        <v>170</v>
      </c>
      <c r="H88" s="13" t="n">
        <f aca="false">F88*G88</f>
        <v>340</v>
      </c>
      <c r="I88" s="13" t="n">
        <f aca="false">VALUE(Raw_Data!H90)</f>
        <v>150</v>
      </c>
      <c r="J88" s="13" t="n">
        <f aca="false">H88-I88</f>
        <v>190</v>
      </c>
      <c r="K88" s="14" t="n">
        <f aca="false">IFERROR(J88/H88,0)</f>
        <v>0.558823529411765</v>
      </c>
      <c r="L88" s="9" t="str">
        <f aca="false">TEXT(B88,"MMM-YYYY")</f>
        <v>Jun-2026</v>
      </c>
      <c r="M88" s="9" t="n">
        <f aca="false">YEAR(B88)</f>
        <v>2026</v>
      </c>
      <c r="N88" s="9" t="str">
        <f aca="false">IF(TRIM(Raw_Data!I90&amp;"")="","Not Specified",TRIM(Raw_Data!I90))</f>
        <v>UPI</v>
      </c>
      <c r="O88" s="9" t="str">
        <f aca="false">PROPER(TRIM(Raw_Data!J90))</f>
        <v>Completed</v>
      </c>
      <c r="P88" s="9" t="str">
        <f aca="false">IF(O88="Completed","Completed","Not Completed")</f>
        <v>Completed</v>
      </c>
    </row>
    <row r="89" customFormat="false" ht="15" hidden="false" customHeight="false" outlineLevel="0" collapsed="false">
      <c r="A89" s="9" t="str">
        <f aca="false">Raw_Data!A91</f>
        <v>ORD1194</v>
      </c>
      <c r="B89" s="10" t="n">
        <f aca="false">IF(ISNUMBER(Raw_Data!B91),Raw_Data!B91,DATE(VALUE(RIGHT(Raw_Data!B91,4)),VALUE(MID(Raw_Data!B91,4,2)),VALUE(LEFT(Raw_Data!B91,2))))</f>
        <v>46195</v>
      </c>
      <c r="C89" s="9" t="str">
        <f aca="false">IFERROR(INDEX($T$10:$T$11,MATCH(PROPER(TRIM(Raw_Data!C91)),$S$10:$S$11,0)),PROPER(TRIM(Raw_Data!C91)))</f>
        <v>HSR Layout</v>
      </c>
      <c r="D89" s="9" t="str">
        <f aca="false">PROPER(TRIM(Raw_Data!D91))</f>
        <v>Frappe</v>
      </c>
      <c r="E89" s="9" t="str">
        <f aca="false">IFERROR(INDEX($T$6:$T$7,MATCH(PROPER(TRIM(Raw_Data!E91)),$S$6:$S$7,0)),PROPER(TRIM(Raw_Data!E91)))</f>
        <v>Cold Beverages</v>
      </c>
      <c r="F89" s="9" t="n">
        <f aca="false">IF(TRIM(Raw_Data!F91&amp;"")="",1,VALUE(Raw_Data!F91))</f>
        <v>4</v>
      </c>
      <c r="G89" s="13" t="n">
        <f aca="false">VALUE(Raw_Data!G91)</f>
        <v>240</v>
      </c>
      <c r="H89" s="13" t="n">
        <f aca="false">F89*G89</f>
        <v>960</v>
      </c>
      <c r="I89" s="13" t="n">
        <f aca="false">VALUE(Raw_Data!H91)</f>
        <v>377</v>
      </c>
      <c r="J89" s="13" t="n">
        <f aca="false">H89-I89</f>
        <v>583</v>
      </c>
      <c r="K89" s="14" t="n">
        <f aca="false">IFERROR(J89/H89,0)</f>
        <v>0.607291666666667</v>
      </c>
      <c r="L89" s="9" t="str">
        <f aca="false">TEXT(B89,"MMM-YYYY")</f>
        <v>Jun-2026</v>
      </c>
      <c r="M89" s="9" t="n">
        <f aca="false">YEAR(B89)</f>
        <v>2026</v>
      </c>
      <c r="N89" s="9" t="str">
        <f aca="false">IF(TRIM(Raw_Data!I91&amp;"")="","Not Specified",TRIM(Raw_Data!I91))</f>
        <v>Cash</v>
      </c>
      <c r="O89" s="9" t="str">
        <f aca="false">PROPER(TRIM(Raw_Data!J91))</f>
        <v>Completed</v>
      </c>
      <c r="P89" s="9" t="str">
        <f aca="false">IF(O89="Completed","Completed","Not Completed")</f>
        <v>Completed</v>
      </c>
    </row>
    <row r="90" customFormat="false" ht="15" hidden="false" customHeight="false" outlineLevel="0" collapsed="false">
      <c r="A90" s="9" t="str">
        <f aca="false">Raw_Data!A92</f>
        <v>ORD1174</v>
      </c>
      <c r="B90" s="10" t="n">
        <f aca="false">IF(ISNUMBER(Raw_Data!B92),Raw_Data!B92,DATE(VALUE(RIGHT(Raw_Data!B92,4)),VALUE(MID(Raw_Data!B92,4,2)),VALUE(LEFT(Raw_Data!B92,2))))</f>
        <v>46262</v>
      </c>
      <c r="C90" s="9" t="str">
        <f aca="false">IFERROR(INDEX($T$10:$T$11,MATCH(PROPER(TRIM(Raw_Data!C92)),$S$10:$S$11,0)),PROPER(TRIM(Raw_Data!C92)))</f>
        <v>Whitefield</v>
      </c>
      <c r="D90" s="9" t="str">
        <f aca="false">PROPER(TRIM(Raw_Data!D92))</f>
        <v>Latte</v>
      </c>
      <c r="E90" s="9" t="str">
        <f aca="false">IFERROR(INDEX($T$6:$T$7,MATCH(PROPER(TRIM(Raw_Data!E92)),$S$6:$S$7,0)),PROPER(TRIM(Raw_Data!E92)))</f>
        <v>Hot Beverages</v>
      </c>
      <c r="F90" s="9" t="n">
        <f aca="false">IF(TRIM(Raw_Data!F92&amp;"")="",1,VALUE(Raw_Data!F92))</f>
        <v>1</v>
      </c>
      <c r="G90" s="13" t="n">
        <f aca="false">VALUE(Raw_Data!G92)</f>
        <v>190</v>
      </c>
      <c r="H90" s="13" t="n">
        <f aca="false">F90*G90</f>
        <v>190</v>
      </c>
      <c r="I90" s="13" t="n">
        <f aca="false">VALUE(Raw_Data!H92)</f>
        <v>77</v>
      </c>
      <c r="J90" s="13" t="n">
        <f aca="false">H90-I90</f>
        <v>113</v>
      </c>
      <c r="K90" s="14" t="n">
        <f aca="false">IFERROR(J90/H90,0)</f>
        <v>0.594736842105263</v>
      </c>
      <c r="L90" s="9" t="str">
        <f aca="false">TEXT(B90,"MMM-YYYY")</f>
        <v>Aug-2026</v>
      </c>
      <c r="M90" s="9" t="n">
        <f aca="false">YEAR(B90)</f>
        <v>2026</v>
      </c>
      <c r="N90" s="9" t="str">
        <f aca="false">IF(TRIM(Raw_Data!I92&amp;"")="","Not Specified",TRIM(Raw_Data!I92))</f>
        <v>UPI</v>
      </c>
      <c r="O90" s="9" t="str">
        <f aca="false">PROPER(TRIM(Raw_Data!J92))</f>
        <v>Completed</v>
      </c>
      <c r="P90" s="9" t="str">
        <f aca="false">IF(O90="Completed","Completed","Not Completed")</f>
        <v>Completed</v>
      </c>
    </row>
    <row r="91" customFormat="false" ht="15" hidden="false" customHeight="false" outlineLevel="0" collapsed="false">
      <c r="A91" s="9" t="str">
        <f aca="false">Raw_Data!A93</f>
        <v>ORD1191</v>
      </c>
      <c r="B91" s="10" t="n">
        <f aca="false">IF(ISNUMBER(Raw_Data!B93),Raw_Data!B93,DATE(VALUE(RIGHT(Raw_Data!B93,4)),VALUE(MID(Raw_Data!B93,4,2)),VALUE(LEFT(Raw_Data!B93,2))))</f>
        <v>46263</v>
      </c>
      <c r="C91" s="9" t="str">
        <f aca="false">IFERROR(INDEX($T$10:$T$11,MATCH(PROPER(TRIM(Raw_Data!C93)),$S$10:$S$11,0)),PROPER(TRIM(Raw_Data!C93)))</f>
        <v>Indiranagar</v>
      </c>
      <c r="D91" s="9" t="str">
        <f aca="false">PROPER(TRIM(Raw_Data!D93))</f>
        <v>Garlic Bread</v>
      </c>
      <c r="E91" s="9" t="str">
        <f aca="false">IFERROR(INDEX($T$6:$T$7,MATCH(PROPER(TRIM(Raw_Data!E93)),$S$6:$S$7,0)),PROPER(TRIM(Raw_Data!E93)))</f>
        <v>Snacks</v>
      </c>
      <c r="F91" s="9" t="n">
        <f aca="false">IF(TRIM(Raw_Data!F93&amp;"")="",1,VALUE(Raw_Data!F93))</f>
        <v>1</v>
      </c>
      <c r="G91" s="13" t="n">
        <f aca="false">VALUE(Raw_Data!G93)</f>
        <v>150</v>
      </c>
      <c r="H91" s="13" t="n">
        <f aca="false">F91*G91</f>
        <v>150</v>
      </c>
      <c r="I91" s="13" t="n">
        <f aca="false">VALUE(Raw_Data!H93)</f>
        <v>81</v>
      </c>
      <c r="J91" s="13" t="n">
        <f aca="false">H91-I91</f>
        <v>69</v>
      </c>
      <c r="K91" s="14" t="n">
        <f aca="false">IFERROR(J91/H91,0)</f>
        <v>0.46</v>
      </c>
      <c r="L91" s="9" t="str">
        <f aca="false">TEXT(B91,"MMM-YYYY")</f>
        <v>Aug-2026</v>
      </c>
      <c r="M91" s="9" t="n">
        <f aca="false">YEAR(B91)</f>
        <v>2026</v>
      </c>
      <c r="N91" s="9" t="str">
        <f aca="false">IF(TRIM(Raw_Data!I93&amp;"")="","Not Specified",TRIM(Raw_Data!I93))</f>
        <v>Cash</v>
      </c>
      <c r="O91" s="9" t="str">
        <f aca="false">PROPER(TRIM(Raw_Data!J93))</f>
        <v>Completed</v>
      </c>
      <c r="P91" s="9" t="str">
        <f aca="false">IF(O91="Completed","Completed","Not Completed")</f>
        <v>Completed</v>
      </c>
    </row>
    <row r="92" customFormat="false" ht="15" hidden="false" customHeight="false" outlineLevel="0" collapsed="false">
      <c r="A92" s="9" t="str">
        <f aca="false">Raw_Data!A94</f>
        <v>ORD1042</v>
      </c>
      <c r="B92" s="10" t="n">
        <f aca="false">IF(ISNUMBER(Raw_Data!B94),Raw_Data!B94,DATE(VALUE(RIGHT(Raw_Data!B94,4)),VALUE(MID(Raw_Data!B94,4,2)),VALUE(LEFT(Raw_Data!B94,2))))</f>
        <v>46186</v>
      </c>
      <c r="C92" s="9" t="str">
        <f aca="false">IFERROR(INDEX($T$10:$T$11,MATCH(PROPER(TRIM(Raw_Data!C94)),$S$10:$S$11,0)),PROPER(TRIM(Raw_Data!C94)))</f>
        <v>HSR Layout</v>
      </c>
      <c r="D92" s="9" t="str">
        <f aca="false">PROPER(TRIM(Raw_Data!D94))</f>
        <v>Cappuccino</v>
      </c>
      <c r="E92" s="9" t="str">
        <f aca="false">IFERROR(INDEX($T$6:$T$7,MATCH(PROPER(TRIM(Raw_Data!E94)),$S$6:$S$7,0)),PROPER(TRIM(Raw_Data!E94)))</f>
        <v>Hot Beverages</v>
      </c>
      <c r="F92" s="9" t="n">
        <f aca="false">IF(TRIM(Raw_Data!F94&amp;"")="",1,VALUE(Raw_Data!F94))</f>
        <v>2</v>
      </c>
      <c r="G92" s="13" t="n">
        <f aca="false">VALUE(Raw_Data!G94)</f>
        <v>180</v>
      </c>
      <c r="H92" s="13" t="n">
        <f aca="false">F92*G92</f>
        <v>360</v>
      </c>
      <c r="I92" s="13" t="n">
        <f aca="false">VALUE(Raw_Data!H94)</f>
        <v>159</v>
      </c>
      <c r="J92" s="13" t="n">
        <f aca="false">H92-I92</f>
        <v>201</v>
      </c>
      <c r="K92" s="14" t="n">
        <f aca="false">IFERROR(J92/H92,0)</f>
        <v>0.558333333333333</v>
      </c>
      <c r="L92" s="9" t="str">
        <f aca="false">TEXT(B92,"MMM-YYYY")</f>
        <v>Jun-2026</v>
      </c>
      <c r="M92" s="9" t="n">
        <f aca="false">YEAR(B92)</f>
        <v>2026</v>
      </c>
      <c r="N92" s="9" t="str">
        <f aca="false">IF(TRIM(Raw_Data!I94&amp;"")="","Not Specified",TRIM(Raw_Data!I94))</f>
        <v>UPI</v>
      </c>
      <c r="O92" s="9" t="str">
        <f aca="false">PROPER(TRIM(Raw_Data!J94))</f>
        <v>Completed</v>
      </c>
      <c r="P92" s="9" t="str">
        <f aca="false">IF(O92="Completed","Completed","Not Completed")</f>
        <v>Completed</v>
      </c>
    </row>
    <row r="93" customFormat="false" ht="15" hidden="false" customHeight="false" outlineLevel="0" collapsed="false">
      <c r="A93" s="9" t="str">
        <f aca="false">Raw_Data!A95</f>
        <v>ORD1163</v>
      </c>
      <c r="B93" s="10" t="n">
        <f aca="false">IF(ISNUMBER(Raw_Data!B95),Raw_Data!B95,DATE(VALUE(RIGHT(Raw_Data!B95,4)),VALUE(MID(Raw_Data!B95,4,2)),VALUE(LEFT(Raw_Data!B95,2))))</f>
        <v>46254</v>
      </c>
      <c r="C93" s="9" t="str">
        <f aca="false">IFERROR(INDEX($T$10:$T$11,MATCH(PROPER(TRIM(Raw_Data!C95)),$S$10:$S$11,0)),PROPER(TRIM(Raw_Data!C95)))</f>
        <v>HSR Layout</v>
      </c>
      <c r="D93" s="9" t="str">
        <f aca="false">PROPER(TRIM(Raw_Data!D95))</f>
        <v>Sandwich</v>
      </c>
      <c r="E93" s="9" t="str">
        <f aca="false">IFERROR(INDEX($T$6:$T$7,MATCH(PROPER(TRIM(Raw_Data!E95)),$S$6:$S$7,0)),PROPER(TRIM(Raw_Data!E95)))</f>
        <v>Snacks</v>
      </c>
      <c r="F93" s="9" t="n">
        <f aca="false">IF(TRIM(Raw_Data!F95&amp;"")="",1,VALUE(Raw_Data!F95))</f>
        <v>2</v>
      </c>
      <c r="G93" s="13" t="n">
        <f aca="false">VALUE(Raw_Data!G95)</f>
        <v>190</v>
      </c>
      <c r="H93" s="13" t="n">
        <f aca="false">F93*G93</f>
        <v>380</v>
      </c>
      <c r="I93" s="13" t="n">
        <f aca="false">VALUE(Raw_Data!H95)</f>
        <v>204</v>
      </c>
      <c r="J93" s="13" t="n">
        <f aca="false">H93-I93</f>
        <v>176</v>
      </c>
      <c r="K93" s="14" t="n">
        <f aca="false">IFERROR(J93/H93,0)</f>
        <v>0.463157894736842</v>
      </c>
      <c r="L93" s="9" t="str">
        <f aca="false">TEXT(B93,"MMM-YYYY")</f>
        <v>Aug-2026</v>
      </c>
      <c r="M93" s="9" t="n">
        <f aca="false">YEAR(B93)</f>
        <v>2026</v>
      </c>
      <c r="N93" s="9" t="str">
        <f aca="false">IF(TRIM(Raw_Data!I95&amp;"")="","Not Specified",TRIM(Raw_Data!I95))</f>
        <v>UPI</v>
      </c>
      <c r="O93" s="9" t="str">
        <f aca="false">PROPER(TRIM(Raw_Data!J95))</f>
        <v>Completed</v>
      </c>
      <c r="P93" s="9" t="str">
        <f aca="false">IF(O93="Completed","Completed","Not Completed")</f>
        <v>Completed</v>
      </c>
    </row>
    <row r="94" customFormat="false" ht="15" hidden="false" customHeight="false" outlineLevel="0" collapsed="false">
      <c r="A94" s="9" t="str">
        <f aca="false">Raw_Data!A96</f>
        <v>ORD1143</v>
      </c>
      <c r="B94" s="10" t="n">
        <f aca="false">IF(ISNUMBER(Raw_Data!B96),Raw_Data!B96,DATE(VALUE(RIGHT(Raw_Data!B96,4)),VALUE(MID(Raw_Data!B96,4,2)),VALUE(LEFT(Raw_Data!B96,2))))</f>
        <v>46221</v>
      </c>
      <c r="C94" s="9" t="str">
        <f aca="false">IFERROR(INDEX($T$10:$T$11,MATCH(PROPER(TRIM(Raw_Data!C96)),$S$10:$S$11,0)),PROPER(TRIM(Raw_Data!C96)))</f>
        <v>Indiranagar</v>
      </c>
      <c r="D94" s="9" t="str">
        <f aca="false">PROPER(TRIM(Raw_Data!D96))</f>
        <v>Hot Chocolate</v>
      </c>
      <c r="E94" s="9" t="str">
        <f aca="false">IFERROR(INDEX($T$6:$T$7,MATCH(PROPER(TRIM(Raw_Data!E96)),$S$6:$S$7,0)),PROPER(TRIM(Raw_Data!E96)))</f>
        <v>Hot Beverages</v>
      </c>
      <c r="F94" s="9" t="n">
        <f aca="false">IF(TRIM(Raw_Data!F96&amp;"")="",1,VALUE(Raw_Data!F96))</f>
        <v>1</v>
      </c>
      <c r="G94" s="13" t="n">
        <f aca="false">VALUE(Raw_Data!G96)</f>
        <v>170</v>
      </c>
      <c r="H94" s="13" t="n">
        <f aca="false">F94*G94</f>
        <v>170</v>
      </c>
      <c r="I94" s="13" t="n">
        <f aca="false">VALUE(Raw_Data!H96)</f>
        <v>62</v>
      </c>
      <c r="J94" s="13" t="n">
        <f aca="false">H94-I94</f>
        <v>108</v>
      </c>
      <c r="K94" s="14" t="n">
        <f aca="false">IFERROR(J94/H94,0)</f>
        <v>0.635294117647059</v>
      </c>
      <c r="L94" s="9" t="str">
        <f aca="false">TEXT(B94,"MMM-YYYY")</f>
        <v>Jul-2026</v>
      </c>
      <c r="M94" s="9" t="n">
        <f aca="false">YEAR(B94)</f>
        <v>2026</v>
      </c>
      <c r="N94" s="9" t="str">
        <f aca="false">IF(TRIM(Raw_Data!I96&amp;"")="","Not Specified",TRIM(Raw_Data!I96))</f>
        <v>Not Specified</v>
      </c>
      <c r="O94" s="9" t="str">
        <f aca="false">PROPER(TRIM(Raw_Data!J96))</f>
        <v>Completed</v>
      </c>
      <c r="P94" s="9" t="str">
        <f aca="false">IF(O94="Completed","Completed","Not Completed")</f>
        <v>Completed</v>
      </c>
    </row>
    <row r="95" customFormat="false" ht="15" hidden="false" customHeight="false" outlineLevel="0" collapsed="false">
      <c r="A95" s="9" t="str">
        <f aca="false">Raw_Data!A97</f>
        <v>ORD1047</v>
      </c>
      <c r="B95" s="10" t="n">
        <f aca="false">IF(ISNUMBER(Raw_Data!B97),Raw_Data!B97,DATE(VALUE(RIGHT(Raw_Data!B97,4)),VALUE(MID(Raw_Data!B97,4,2)),VALUE(LEFT(Raw_Data!B97,2))))</f>
        <v>46186</v>
      </c>
      <c r="C95" s="9" t="str">
        <f aca="false">IFERROR(INDEX($T$10:$T$11,MATCH(PROPER(TRIM(Raw_Data!C97)),$S$10:$S$11,0)),PROPER(TRIM(Raw_Data!C97)))</f>
        <v>HSR Layout</v>
      </c>
      <c r="D95" s="9" t="str">
        <f aca="false">PROPER(TRIM(Raw_Data!D97))</f>
        <v>Garlic Bread</v>
      </c>
      <c r="E95" s="9" t="str">
        <f aca="false">IFERROR(INDEX($T$6:$T$7,MATCH(PROPER(TRIM(Raw_Data!E97)),$S$6:$S$7,0)),PROPER(TRIM(Raw_Data!E97)))</f>
        <v>Snacks</v>
      </c>
      <c r="F95" s="9" t="n">
        <f aca="false">IF(TRIM(Raw_Data!F97&amp;"")="",1,VALUE(Raw_Data!F97))</f>
        <v>1</v>
      </c>
      <c r="G95" s="13" t="n">
        <f aca="false">VALUE(Raw_Data!G97)</f>
        <v>150</v>
      </c>
      <c r="H95" s="13" t="n">
        <f aca="false">F95*G95</f>
        <v>150</v>
      </c>
      <c r="I95" s="13" t="n">
        <f aca="false">VALUE(Raw_Data!H97)</f>
        <v>76</v>
      </c>
      <c r="J95" s="13" t="n">
        <f aca="false">H95-I95</f>
        <v>74</v>
      </c>
      <c r="K95" s="14" t="n">
        <f aca="false">IFERROR(J95/H95,0)</f>
        <v>0.493333333333333</v>
      </c>
      <c r="L95" s="9" t="str">
        <f aca="false">TEXT(B95,"MMM-YYYY")</f>
        <v>Jun-2026</v>
      </c>
      <c r="M95" s="9" t="n">
        <f aca="false">YEAR(B95)</f>
        <v>2026</v>
      </c>
      <c r="N95" s="9" t="str">
        <f aca="false">IF(TRIM(Raw_Data!I97&amp;"")="","Not Specified",TRIM(Raw_Data!I97))</f>
        <v>UPI</v>
      </c>
      <c r="O95" s="9" t="str">
        <f aca="false">PROPER(TRIM(Raw_Data!J97))</f>
        <v>Completed</v>
      </c>
      <c r="P95" s="9" t="str">
        <f aca="false">IF(O95="Completed","Completed","Not Completed")</f>
        <v>Completed</v>
      </c>
    </row>
    <row r="96" customFormat="false" ht="15" hidden="false" customHeight="false" outlineLevel="0" collapsed="false">
      <c r="A96" s="9" t="str">
        <f aca="false">Raw_Data!A98</f>
        <v>ORD1039</v>
      </c>
      <c r="B96" s="10" t="n">
        <f aca="false">IF(ISNUMBER(Raw_Data!B98),Raw_Data!B98,DATE(VALUE(RIGHT(Raw_Data!B98,4)),VALUE(MID(Raw_Data!B98,4,2)),VALUE(LEFT(Raw_Data!B98,2))))</f>
        <v>46240</v>
      </c>
      <c r="C96" s="9" t="str">
        <f aca="false">IFERROR(INDEX($T$10:$T$11,MATCH(PROPER(TRIM(Raw_Data!C98)),$S$10:$S$11,0)),PROPER(TRIM(Raw_Data!C98)))</f>
        <v>HSR Layout</v>
      </c>
      <c r="D96" s="9" t="str">
        <f aca="false">PROPER(TRIM(Raw_Data!D98))</f>
        <v>Nachos</v>
      </c>
      <c r="E96" s="9" t="str">
        <f aca="false">IFERROR(INDEX($T$6:$T$7,MATCH(PROPER(TRIM(Raw_Data!E98)),$S$6:$S$7,0)),PROPER(TRIM(Raw_Data!E98)))</f>
        <v>Snacks</v>
      </c>
      <c r="F96" s="9" t="n">
        <f aca="false">IF(TRIM(Raw_Data!F98&amp;"")="",1,VALUE(Raw_Data!F98))</f>
        <v>1</v>
      </c>
      <c r="G96" s="13" t="n">
        <f aca="false">VALUE(Raw_Data!G98)</f>
        <v>170</v>
      </c>
      <c r="H96" s="13" t="n">
        <f aca="false">F96*G96</f>
        <v>170</v>
      </c>
      <c r="I96" s="13" t="n">
        <f aca="false">VALUE(Raw_Data!H98)</f>
        <v>75</v>
      </c>
      <c r="J96" s="13" t="n">
        <f aca="false">H96-I96</f>
        <v>95</v>
      </c>
      <c r="K96" s="14" t="n">
        <f aca="false">IFERROR(J96/H96,0)</f>
        <v>0.558823529411765</v>
      </c>
      <c r="L96" s="9" t="str">
        <f aca="false">TEXT(B96,"MMM-YYYY")</f>
        <v>Aug-2026</v>
      </c>
      <c r="M96" s="9" t="n">
        <f aca="false">YEAR(B96)</f>
        <v>2026</v>
      </c>
      <c r="N96" s="9" t="str">
        <f aca="false">IF(TRIM(Raw_Data!I98&amp;"")="","Not Specified",TRIM(Raw_Data!I98))</f>
        <v>UPI</v>
      </c>
      <c r="O96" s="9" t="str">
        <f aca="false">PROPER(TRIM(Raw_Data!J98))</f>
        <v>Completed</v>
      </c>
      <c r="P96" s="9" t="str">
        <f aca="false">IF(O96="Completed","Completed","Not Completed")</f>
        <v>Completed</v>
      </c>
    </row>
    <row r="97" customFormat="false" ht="15" hidden="false" customHeight="false" outlineLevel="0" collapsed="false">
      <c r="A97" s="9" t="str">
        <f aca="false">Raw_Data!A99</f>
        <v>ORD1095</v>
      </c>
      <c r="B97" s="10" t="n">
        <f aca="false">IF(ISNUMBER(Raw_Data!B99),Raw_Data!B99,DATE(VALUE(RIGHT(Raw_Data!B99,4)),VALUE(MID(Raw_Data!B99,4,2)),VALUE(LEFT(Raw_Data!B99,2))))</f>
        <v>46207</v>
      </c>
      <c r="C97" s="9" t="str">
        <f aca="false">IFERROR(INDEX($T$10:$T$11,MATCH(PROPER(TRIM(Raw_Data!C99)),$S$10:$S$11,0)),PROPER(TRIM(Raw_Data!C99)))</f>
        <v>Indiranagar</v>
      </c>
      <c r="D97" s="9" t="str">
        <f aca="false">PROPER(TRIM(Raw_Data!D99))</f>
        <v>Cappuccino</v>
      </c>
      <c r="E97" s="9" t="str">
        <f aca="false">IFERROR(INDEX($T$6:$T$7,MATCH(PROPER(TRIM(Raw_Data!E99)),$S$6:$S$7,0)),PROPER(TRIM(Raw_Data!E99)))</f>
        <v>Hot Beverages</v>
      </c>
      <c r="F97" s="9" t="n">
        <f aca="false">IF(TRIM(Raw_Data!F99&amp;"")="",1,VALUE(Raw_Data!F99))</f>
        <v>2</v>
      </c>
      <c r="G97" s="13" t="n">
        <f aca="false">VALUE(Raw_Data!G99)</f>
        <v>180</v>
      </c>
      <c r="H97" s="13" t="n">
        <f aca="false">F97*G97</f>
        <v>360</v>
      </c>
      <c r="I97" s="13" t="n">
        <f aca="false">VALUE(Raw_Data!H99)</f>
        <v>141</v>
      </c>
      <c r="J97" s="13" t="n">
        <f aca="false">H97-I97</f>
        <v>219</v>
      </c>
      <c r="K97" s="14" t="n">
        <f aca="false">IFERROR(J97/H97,0)</f>
        <v>0.608333333333333</v>
      </c>
      <c r="L97" s="9" t="str">
        <f aca="false">TEXT(B97,"MMM-YYYY")</f>
        <v>Jul-2026</v>
      </c>
      <c r="M97" s="9" t="n">
        <f aca="false">YEAR(B97)</f>
        <v>2026</v>
      </c>
      <c r="N97" s="9" t="str">
        <f aca="false">IF(TRIM(Raw_Data!I99&amp;"")="","Not Specified",TRIM(Raw_Data!I99))</f>
        <v>UPI</v>
      </c>
      <c r="O97" s="9" t="str">
        <f aca="false">PROPER(TRIM(Raw_Data!J99))</f>
        <v>Completed</v>
      </c>
      <c r="P97" s="9" t="str">
        <f aca="false">IF(O97="Completed","Completed","Not Completed")</f>
        <v>Completed</v>
      </c>
    </row>
    <row r="98" customFormat="false" ht="15" hidden="false" customHeight="false" outlineLevel="0" collapsed="false">
      <c r="A98" s="9" t="str">
        <f aca="false">Raw_Data!A100</f>
        <v>ORD1004</v>
      </c>
      <c r="B98" s="10" t="n">
        <f aca="false">IF(ISNUMBER(Raw_Data!B100),Raw_Data!B100,DATE(VALUE(RIGHT(Raw_Data!B100,4)),VALUE(MID(Raw_Data!B100,4,2)),VALUE(LEFT(Raw_Data!B100,2))))</f>
        <v>46180</v>
      </c>
      <c r="C98" s="9" t="str">
        <f aca="false">IFERROR(INDEX($T$10:$T$11,MATCH(PROPER(TRIM(Raw_Data!C100)),$S$10:$S$11,0)),PROPER(TRIM(Raw_Data!C100)))</f>
        <v>Indiranagar</v>
      </c>
      <c r="D98" s="9" t="str">
        <f aca="false">PROPER(TRIM(Raw_Data!D100))</f>
        <v>Latte</v>
      </c>
      <c r="E98" s="9" t="str">
        <f aca="false">IFERROR(INDEX($T$6:$T$7,MATCH(PROPER(TRIM(Raw_Data!E100)),$S$6:$S$7,0)),PROPER(TRIM(Raw_Data!E100)))</f>
        <v>Hot Beverages</v>
      </c>
      <c r="F98" s="9" t="n">
        <f aca="false">IF(TRIM(Raw_Data!F100&amp;"")="",1,VALUE(Raw_Data!F100))</f>
        <v>2</v>
      </c>
      <c r="G98" s="13" t="n">
        <f aca="false">VALUE(Raw_Data!G100)</f>
        <v>190</v>
      </c>
      <c r="H98" s="13" t="n">
        <f aca="false">F98*G98</f>
        <v>380</v>
      </c>
      <c r="I98" s="13" t="n">
        <f aca="false">VALUE(Raw_Data!H100)</f>
        <v>138</v>
      </c>
      <c r="J98" s="13" t="n">
        <f aca="false">H98-I98</f>
        <v>242</v>
      </c>
      <c r="K98" s="14" t="n">
        <f aca="false">IFERROR(J98/H98,0)</f>
        <v>0.636842105263158</v>
      </c>
      <c r="L98" s="9" t="str">
        <f aca="false">TEXT(B98,"MMM-YYYY")</f>
        <v>Jun-2026</v>
      </c>
      <c r="M98" s="9" t="n">
        <f aca="false">YEAR(B98)</f>
        <v>2026</v>
      </c>
      <c r="N98" s="9" t="str">
        <f aca="false">IF(TRIM(Raw_Data!I100&amp;"")="","Not Specified",TRIM(Raw_Data!I100))</f>
        <v>UPI</v>
      </c>
      <c r="O98" s="9" t="str">
        <f aca="false">PROPER(TRIM(Raw_Data!J100))</f>
        <v>Completed</v>
      </c>
      <c r="P98" s="9" t="str">
        <f aca="false">IF(O98="Completed","Completed","Not Completed")</f>
        <v>Completed</v>
      </c>
    </row>
    <row r="99" customFormat="false" ht="15" hidden="false" customHeight="false" outlineLevel="0" collapsed="false">
      <c r="A99" s="9" t="str">
        <f aca="false">Raw_Data!A101</f>
        <v>ORD1030</v>
      </c>
      <c r="B99" s="10" t="n">
        <f aca="false">IF(ISNUMBER(Raw_Data!B101),Raw_Data!B101,DATE(VALUE(RIGHT(Raw_Data!B101,4)),VALUE(MID(Raw_Data!B101,4,2)),VALUE(LEFT(Raw_Data!B101,2))))</f>
        <v>46184</v>
      </c>
      <c r="C99" s="9" t="str">
        <f aca="false">IFERROR(INDEX($T$10:$T$11,MATCH(PROPER(TRIM(Raw_Data!C101)),$S$10:$S$11,0)),PROPER(TRIM(Raw_Data!C101)))</f>
        <v>Indiranagar</v>
      </c>
      <c r="D99" s="9" t="str">
        <f aca="false">PROPER(TRIM(Raw_Data!D101))</f>
        <v>Filter Coffee</v>
      </c>
      <c r="E99" s="9" t="str">
        <f aca="false">IFERROR(INDEX($T$6:$T$7,MATCH(PROPER(TRIM(Raw_Data!E101)),$S$6:$S$7,0)),PROPER(TRIM(Raw_Data!E101)))</f>
        <v>Hot Beverages</v>
      </c>
      <c r="F99" s="9" t="n">
        <f aca="false">IF(TRIM(Raw_Data!F101&amp;"")="",1,VALUE(Raw_Data!F101))</f>
        <v>1</v>
      </c>
      <c r="G99" s="13" t="n">
        <f aca="false">VALUE(Raw_Data!G101)</f>
        <v>120</v>
      </c>
      <c r="H99" s="13" t="n">
        <f aca="false">F99*G99</f>
        <v>120</v>
      </c>
      <c r="I99" s="13" t="n">
        <f aca="false">VALUE(Raw_Data!H101)</f>
        <v>44</v>
      </c>
      <c r="J99" s="13" t="n">
        <f aca="false">H99-I99</f>
        <v>76</v>
      </c>
      <c r="K99" s="14" t="n">
        <f aca="false">IFERROR(J99/H99,0)</f>
        <v>0.633333333333333</v>
      </c>
      <c r="L99" s="9" t="str">
        <f aca="false">TEXT(B99,"MMM-YYYY")</f>
        <v>Jun-2026</v>
      </c>
      <c r="M99" s="9" t="n">
        <f aca="false">YEAR(B99)</f>
        <v>2026</v>
      </c>
      <c r="N99" s="9" t="str">
        <f aca="false">IF(TRIM(Raw_Data!I101&amp;"")="","Not Specified",TRIM(Raw_Data!I101))</f>
        <v>UPI</v>
      </c>
      <c r="O99" s="9" t="str">
        <f aca="false">PROPER(TRIM(Raw_Data!J101))</f>
        <v>Completed</v>
      </c>
      <c r="P99" s="9" t="str">
        <f aca="false">IF(O99="Completed","Completed","Not Completed")</f>
        <v>Completed</v>
      </c>
    </row>
    <row r="100" customFormat="false" ht="15" hidden="false" customHeight="false" outlineLevel="0" collapsed="false">
      <c r="A100" s="9" t="str">
        <f aca="false">Raw_Data!A102</f>
        <v>ORD1074</v>
      </c>
      <c r="B100" s="10" t="n">
        <f aca="false">IF(ISNUMBER(Raw_Data!B102),Raw_Data!B102,DATE(VALUE(RIGHT(Raw_Data!B102,4)),VALUE(MID(Raw_Data!B102,4,2)),VALUE(LEFT(Raw_Data!B102,2))))</f>
        <v>46207</v>
      </c>
      <c r="C100" s="9" t="str">
        <f aca="false">IFERROR(INDEX($T$10:$T$11,MATCH(PROPER(TRIM(Raw_Data!C102)),$S$10:$S$11,0)),PROPER(TRIM(Raw_Data!C102)))</f>
        <v>Indiranagar</v>
      </c>
      <c r="D100" s="9" t="str">
        <f aca="false">PROPER(TRIM(Raw_Data!D102))</f>
        <v>Iced Latte</v>
      </c>
      <c r="E100" s="9" t="str">
        <f aca="false">IFERROR(INDEX($T$6:$T$7,MATCH(PROPER(TRIM(Raw_Data!E102)),$S$6:$S$7,0)),PROPER(TRIM(Raw_Data!E102)))</f>
        <v>Cold Beverages</v>
      </c>
      <c r="F100" s="9" t="n">
        <f aca="false">IF(TRIM(Raw_Data!F102&amp;"")="",1,VALUE(Raw_Data!F102))</f>
        <v>1</v>
      </c>
      <c r="G100" s="13" t="n">
        <f aca="false">VALUE(Raw_Data!G102)</f>
        <v>200</v>
      </c>
      <c r="H100" s="13" t="n">
        <f aca="false">F100*G100</f>
        <v>200</v>
      </c>
      <c r="I100" s="13" t="n">
        <f aca="false">VALUE(Raw_Data!H102)</f>
        <v>89</v>
      </c>
      <c r="J100" s="13" t="n">
        <f aca="false">H100-I100</f>
        <v>111</v>
      </c>
      <c r="K100" s="14" t="n">
        <f aca="false">IFERROR(J100/H100,0)</f>
        <v>0.555</v>
      </c>
      <c r="L100" s="9" t="str">
        <f aca="false">TEXT(B100,"MMM-YYYY")</f>
        <v>Jul-2026</v>
      </c>
      <c r="M100" s="9" t="n">
        <f aca="false">YEAR(B100)</f>
        <v>2026</v>
      </c>
      <c r="N100" s="9" t="str">
        <f aca="false">IF(TRIM(Raw_Data!I102&amp;"")="","Not Specified",TRIM(Raw_Data!I102))</f>
        <v>UPI</v>
      </c>
      <c r="O100" s="9" t="str">
        <f aca="false">PROPER(TRIM(Raw_Data!J102))</f>
        <v>Completed</v>
      </c>
      <c r="P100" s="9" t="str">
        <f aca="false">IF(O100="Completed","Completed","Not Completed")</f>
        <v>Completed</v>
      </c>
    </row>
    <row r="101" customFormat="false" ht="15" hidden="false" customHeight="false" outlineLevel="0" collapsed="false">
      <c r="A101" s="9" t="str">
        <f aca="false">Raw_Data!A103</f>
        <v>ORD1152</v>
      </c>
      <c r="B101" s="10" t="n">
        <f aca="false">IF(ISNUMBER(Raw_Data!B103),Raw_Data!B103,DATE(VALUE(RIGHT(Raw_Data!B103,4)),VALUE(MID(Raw_Data!B103,4,2)),VALUE(LEFT(Raw_Data!B103,2))))</f>
        <v>46220</v>
      </c>
      <c r="C101" s="9" t="str">
        <f aca="false">IFERROR(INDEX($T$10:$T$11,MATCH(PROPER(TRIM(Raw_Data!C103)),$S$10:$S$11,0)),PROPER(TRIM(Raw_Data!C103)))</f>
        <v>Koramangala</v>
      </c>
      <c r="D101" s="9" t="str">
        <f aca="false">PROPER(TRIM(Raw_Data!D103))</f>
        <v>Veg Puff</v>
      </c>
      <c r="E101" s="9" t="str">
        <f aca="false">IFERROR(INDEX($T$6:$T$7,MATCH(PROPER(TRIM(Raw_Data!E103)),$S$6:$S$7,0)),PROPER(TRIM(Raw_Data!E103)))</f>
        <v>Snacks</v>
      </c>
      <c r="F101" s="9" t="n">
        <f aca="false">IF(TRIM(Raw_Data!F103&amp;"")="",1,VALUE(Raw_Data!F103))</f>
        <v>2</v>
      </c>
      <c r="G101" s="13" t="n">
        <f aca="false">VALUE(Raw_Data!G103)</f>
        <v>80</v>
      </c>
      <c r="H101" s="13" t="n">
        <f aca="false">F101*G101</f>
        <v>160</v>
      </c>
      <c r="I101" s="13" t="n">
        <f aca="false">VALUE(Raw_Data!H103)</f>
        <v>81</v>
      </c>
      <c r="J101" s="13" t="n">
        <f aca="false">H101-I101</f>
        <v>79</v>
      </c>
      <c r="K101" s="14" t="n">
        <f aca="false">IFERROR(J101/H101,0)</f>
        <v>0.49375</v>
      </c>
      <c r="L101" s="9" t="str">
        <f aca="false">TEXT(B101,"MMM-YYYY")</f>
        <v>Jul-2026</v>
      </c>
      <c r="M101" s="9" t="n">
        <f aca="false">YEAR(B101)</f>
        <v>2026</v>
      </c>
      <c r="N101" s="9" t="str">
        <f aca="false">IF(TRIM(Raw_Data!I103&amp;"")="","Not Specified",TRIM(Raw_Data!I103))</f>
        <v>UPI</v>
      </c>
      <c r="O101" s="9" t="str">
        <f aca="false">PROPER(TRIM(Raw_Data!J103))</f>
        <v>Completed</v>
      </c>
      <c r="P101" s="9" t="str">
        <f aca="false">IF(O101="Completed","Completed","Not Completed")</f>
        <v>Completed</v>
      </c>
    </row>
    <row r="102" customFormat="false" ht="15" hidden="false" customHeight="false" outlineLevel="0" collapsed="false">
      <c r="A102" s="9" t="str">
        <f aca="false">Raw_Data!A104</f>
        <v>ORD1117</v>
      </c>
      <c r="B102" s="10" t="n">
        <f aca="false">IF(ISNUMBER(Raw_Data!B104),Raw_Data!B104,DATE(VALUE(RIGHT(Raw_Data!B104,4)),VALUE(MID(Raw_Data!B104,4,2)),VALUE(LEFT(Raw_Data!B104,2))))</f>
        <v>46231</v>
      </c>
      <c r="C102" s="9" t="str">
        <f aca="false">IFERROR(INDEX($T$10:$T$11,MATCH(PROPER(TRIM(Raw_Data!C104)),$S$10:$S$11,0)),PROPER(TRIM(Raw_Data!C104)))</f>
        <v>Indiranagar</v>
      </c>
      <c r="D102" s="9" t="str">
        <f aca="false">PROPER(TRIM(Raw_Data!D104))</f>
        <v>Muffin</v>
      </c>
      <c r="E102" s="9" t="str">
        <f aca="false">IFERROR(INDEX($T$6:$T$7,MATCH(PROPER(TRIM(Raw_Data!E104)),$S$6:$S$7,0)),PROPER(TRIM(Raw_Data!E104)))</f>
        <v>Bakery</v>
      </c>
      <c r="F102" s="9" t="n">
        <f aca="false">IF(TRIM(Raw_Data!F104&amp;"")="",1,VALUE(Raw_Data!F104))</f>
        <v>1</v>
      </c>
      <c r="G102" s="13" t="n">
        <f aca="false">VALUE(Raw_Data!G104)</f>
        <v>130</v>
      </c>
      <c r="H102" s="13" t="n">
        <f aca="false">F102*G102</f>
        <v>130</v>
      </c>
      <c r="I102" s="13" t="n">
        <f aca="false">VALUE(Raw_Data!H104)</f>
        <v>66</v>
      </c>
      <c r="J102" s="13" t="n">
        <f aca="false">H102-I102</f>
        <v>64</v>
      </c>
      <c r="K102" s="14" t="n">
        <f aca="false">IFERROR(J102/H102,0)</f>
        <v>0.492307692307692</v>
      </c>
      <c r="L102" s="9" t="str">
        <f aca="false">TEXT(B102,"MMM-YYYY")</f>
        <v>Jul-2026</v>
      </c>
      <c r="M102" s="9" t="n">
        <f aca="false">YEAR(B102)</f>
        <v>2026</v>
      </c>
      <c r="N102" s="9" t="str">
        <f aca="false">IF(TRIM(Raw_Data!I104&amp;"")="","Not Specified",TRIM(Raw_Data!I104))</f>
        <v>UPI</v>
      </c>
      <c r="O102" s="9" t="str">
        <f aca="false">PROPER(TRIM(Raw_Data!J104))</f>
        <v>Completed</v>
      </c>
      <c r="P102" s="9" t="str">
        <f aca="false">IF(O102="Completed","Completed","Not Completed")</f>
        <v>Completed</v>
      </c>
    </row>
    <row r="103" customFormat="false" ht="15" hidden="false" customHeight="false" outlineLevel="0" collapsed="false">
      <c r="A103" s="9" t="str">
        <f aca="false">Raw_Data!A105</f>
        <v>ORD1037</v>
      </c>
      <c r="B103" s="10" t="n">
        <f aca="false">IF(ISNUMBER(Raw_Data!B105),Raw_Data!B105,DATE(VALUE(RIGHT(Raw_Data!B105,4)),VALUE(MID(Raw_Data!B105,4,2)),VALUE(LEFT(Raw_Data!B105,2))))</f>
        <v>46201</v>
      </c>
      <c r="C103" s="9" t="str">
        <f aca="false">IFERROR(INDEX($T$10:$T$11,MATCH(PROPER(TRIM(Raw_Data!C105)),$S$10:$S$11,0)),PROPER(TRIM(Raw_Data!C105)))</f>
        <v>Koramangala</v>
      </c>
      <c r="D103" s="9" t="str">
        <f aca="false">PROPER(TRIM(Raw_Data!D105))</f>
        <v>Iced Tea</v>
      </c>
      <c r="E103" s="9" t="str">
        <f aca="false">IFERROR(INDEX($T$6:$T$7,MATCH(PROPER(TRIM(Raw_Data!E105)),$S$6:$S$7,0)),PROPER(TRIM(Raw_Data!E105)))</f>
        <v>Cold Beverages</v>
      </c>
      <c r="F103" s="9" t="n">
        <f aca="false">IF(TRIM(Raw_Data!F105&amp;"")="",1,VALUE(Raw_Data!F105))</f>
        <v>1</v>
      </c>
      <c r="G103" s="13" t="n">
        <f aca="false">VALUE(Raw_Data!G105)</f>
        <v>150</v>
      </c>
      <c r="H103" s="13" t="n">
        <f aca="false">F103*G103</f>
        <v>150</v>
      </c>
      <c r="I103" s="13" t="n">
        <f aca="false">VALUE(Raw_Data!H105)</f>
        <v>65</v>
      </c>
      <c r="J103" s="13" t="n">
        <f aca="false">H103-I103</f>
        <v>85</v>
      </c>
      <c r="K103" s="14" t="n">
        <f aca="false">IFERROR(J103/H103,0)</f>
        <v>0.566666666666667</v>
      </c>
      <c r="L103" s="9" t="str">
        <f aca="false">TEXT(B103,"MMM-YYYY")</f>
        <v>Jun-2026</v>
      </c>
      <c r="M103" s="9" t="n">
        <f aca="false">YEAR(B103)</f>
        <v>2026</v>
      </c>
      <c r="N103" s="9" t="str">
        <f aca="false">IF(TRIM(Raw_Data!I105&amp;"")="","Not Specified",TRIM(Raw_Data!I105))</f>
        <v>Cash</v>
      </c>
      <c r="O103" s="9" t="str">
        <f aca="false">PROPER(TRIM(Raw_Data!J105))</f>
        <v>Completed</v>
      </c>
      <c r="P103" s="9" t="str">
        <f aca="false">IF(O103="Completed","Completed","Not Completed")</f>
        <v>Completed</v>
      </c>
    </row>
    <row r="104" customFormat="false" ht="15" hidden="false" customHeight="false" outlineLevel="0" collapsed="false">
      <c r="A104" s="9" t="str">
        <f aca="false">Raw_Data!A106</f>
        <v>ORD1056</v>
      </c>
      <c r="B104" s="10" t="n">
        <f aca="false">IF(ISNUMBER(Raw_Data!B106),Raw_Data!B106,DATE(VALUE(RIGHT(Raw_Data!B106,4)),VALUE(MID(Raw_Data!B106,4,2)),VALUE(LEFT(Raw_Data!B106,2))))</f>
        <v>46194</v>
      </c>
      <c r="C104" s="9" t="str">
        <f aca="false">IFERROR(INDEX($T$10:$T$11,MATCH(PROPER(TRIM(Raw_Data!C106)),$S$10:$S$11,0)),PROPER(TRIM(Raw_Data!C106)))</f>
        <v>Whitefield</v>
      </c>
      <c r="D104" s="9" t="str">
        <f aca="false">PROPER(TRIM(Raw_Data!D106))</f>
        <v>Latte</v>
      </c>
      <c r="E104" s="9" t="str">
        <f aca="false">IFERROR(INDEX($T$6:$T$7,MATCH(PROPER(TRIM(Raw_Data!E106)),$S$6:$S$7,0)),PROPER(TRIM(Raw_Data!E106)))</f>
        <v>Hot Beverages</v>
      </c>
      <c r="F104" s="9" t="n">
        <f aca="false">IF(TRIM(Raw_Data!F106&amp;"")="",1,VALUE(Raw_Data!F106))</f>
        <v>1</v>
      </c>
      <c r="G104" s="13" t="n">
        <f aca="false">VALUE(Raw_Data!G106)</f>
        <v>190</v>
      </c>
      <c r="H104" s="13" t="n">
        <f aca="false">F104*G104</f>
        <v>190</v>
      </c>
      <c r="I104" s="13" t="n">
        <f aca="false">VALUE(Raw_Data!H106)</f>
        <v>84</v>
      </c>
      <c r="J104" s="13" t="n">
        <f aca="false">H104-I104</f>
        <v>106</v>
      </c>
      <c r="K104" s="14" t="n">
        <f aca="false">IFERROR(J104/H104,0)</f>
        <v>0.557894736842105</v>
      </c>
      <c r="L104" s="9" t="str">
        <f aca="false">TEXT(B104,"MMM-YYYY")</f>
        <v>Jun-2026</v>
      </c>
      <c r="M104" s="9" t="n">
        <f aca="false">YEAR(B104)</f>
        <v>2026</v>
      </c>
      <c r="N104" s="9" t="str">
        <f aca="false">IF(TRIM(Raw_Data!I106&amp;"")="","Not Specified",TRIM(Raw_Data!I106))</f>
        <v>Cash</v>
      </c>
      <c r="O104" s="9" t="str">
        <f aca="false">PROPER(TRIM(Raw_Data!J106))</f>
        <v>Completed</v>
      </c>
      <c r="P104" s="9" t="str">
        <f aca="false">IF(O104="Completed","Completed","Not Completed")</f>
        <v>Completed</v>
      </c>
    </row>
    <row r="105" customFormat="false" ht="15" hidden="false" customHeight="false" outlineLevel="0" collapsed="false">
      <c r="A105" s="9" t="str">
        <f aca="false">Raw_Data!A107</f>
        <v>ORD1078</v>
      </c>
      <c r="B105" s="10" t="n">
        <f aca="false">IF(ISNUMBER(Raw_Data!B107),Raw_Data!B107,DATE(VALUE(RIGHT(Raw_Data!B107,4)),VALUE(MID(Raw_Data!B107,4,2)),VALUE(LEFT(Raw_Data!B107,2))))</f>
        <v>46211</v>
      </c>
      <c r="C105" s="9" t="str">
        <f aca="false">IFERROR(INDEX($T$10:$T$11,MATCH(PROPER(TRIM(Raw_Data!C107)),$S$10:$S$11,0)),PROPER(TRIM(Raw_Data!C107)))</f>
        <v>Whitefield</v>
      </c>
      <c r="D105" s="9" t="str">
        <f aca="false">PROPER(TRIM(Raw_Data!D107))</f>
        <v>Veg Puff</v>
      </c>
      <c r="E105" s="9" t="str">
        <f aca="false">IFERROR(INDEX($T$6:$T$7,MATCH(PROPER(TRIM(Raw_Data!E107)),$S$6:$S$7,0)),PROPER(TRIM(Raw_Data!E107)))</f>
        <v>Snacks</v>
      </c>
      <c r="F105" s="9" t="n">
        <f aca="false">IF(TRIM(Raw_Data!F107&amp;"")="",1,VALUE(Raw_Data!F107))</f>
        <v>2</v>
      </c>
      <c r="G105" s="13" t="n">
        <f aca="false">VALUE(Raw_Data!G107)</f>
        <v>80</v>
      </c>
      <c r="H105" s="13" t="n">
        <f aca="false">F105*G105</f>
        <v>160</v>
      </c>
      <c r="I105" s="13" t="n">
        <f aca="false">VALUE(Raw_Data!H107)</f>
        <v>83</v>
      </c>
      <c r="J105" s="13" t="n">
        <f aca="false">H105-I105</f>
        <v>77</v>
      </c>
      <c r="K105" s="14" t="n">
        <f aca="false">IFERROR(J105/H105,0)</f>
        <v>0.48125</v>
      </c>
      <c r="L105" s="9" t="str">
        <f aca="false">TEXT(B105,"MMM-YYYY")</f>
        <v>Jul-2026</v>
      </c>
      <c r="M105" s="9" t="n">
        <f aca="false">YEAR(B105)</f>
        <v>2026</v>
      </c>
      <c r="N105" s="9" t="str">
        <f aca="false">IF(TRIM(Raw_Data!I107&amp;"")="","Not Specified",TRIM(Raw_Data!I107))</f>
        <v>Card</v>
      </c>
      <c r="O105" s="9" t="str">
        <f aca="false">PROPER(TRIM(Raw_Data!J107))</f>
        <v>Completed</v>
      </c>
      <c r="P105" s="9" t="str">
        <f aca="false">IF(O105="Completed","Completed","Not Completed")</f>
        <v>Completed</v>
      </c>
    </row>
    <row r="106" customFormat="false" ht="15" hidden="false" customHeight="false" outlineLevel="0" collapsed="false">
      <c r="A106" s="9" t="str">
        <f aca="false">Raw_Data!A108</f>
        <v>ORD1105</v>
      </c>
      <c r="B106" s="10" t="n">
        <f aca="false">IF(ISNUMBER(Raw_Data!B108),Raw_Data!B108,DATE(VALUE(RIGHT(Raw_Data!B108,4)),VALUE(MID(Raw_Data!B108,4,2)),VALUE(LEFT(Raw_Data!B108,2))))</f>
        <v>46205</v>
      </c>
      <c r="C106" s="9" t="str">
        <f aca="false">IFERROR(INDEX($T$10:$T$11,MATCH(PROPER(TRIM(Raw_Data!C108)),$S$10:$S$11,0)),PROPER(TRIM(Raw_Data!C108)))</f>
        <v>HSR Layout</v>
      </c>
      <c r="D106" s="9" t="str">
        <f aca="false">PROPER(TRIM(Raw_Data!D108))</f>
        <v>Nachos</v>
      </c>
      <c r="E106" s="9" t="str">
        <f aca="false">IFERROR(INDEX($T$6:$T$7,MATCH(PROPER(TRIM(Raw_Data!E108)),$S$6:$S$7,0)),PROPER(TRIM(Raw_Data!E108)))</f>
        <v>Snacks</v>
      </c>
      <c r="F106" s="9" t="n">
        <f aca="false">IF(TRIM(Raw_Data!F108&amp;"")="",1,VALUE(Raw_Data!F108))</f>
        <v>1</v>
      </c>
      <c r="G106" s="13" t="n">
        <f aca="false">VALUE(Raw_Data!G108)</f>
        <v>170</v>
      </c>
      <c r="H106" s="13" t="n">
        <f aca="false">F106*G106</f>
        <v>170</v>
      </c>
      <c r="I106" s="13" t="n">
        <f aca="false">VALUE(Raw_Data!H108)</f>
        <v>77</v>
      </c>
      <c r="J106" s="13" t="n">
        <f aca="false">H106-I106</f>
        <v>93</v>
      </c>
      <c r="K106" s="14" t="n">
        <f aca="false">IFERROR(J106/H106,0)</f>
        <v>0.547058823529412</v>
      </c>
      <c r="L106" s="9" t="str">
        <f aca="false">TEXT(B106,"MMM-YYYY")</f>
        <v>Jul-2026</v>
      </c>
      <c r="M106" s="9" t="n">
        <f aca="false">YEAR(B106)</f>
        <v>2026</v>
      </c>
      <c r="N106" s="9" t="str">
        <f aca="false">IF(TRIM(Raw_Data!I108&amp;"")="","Not Specified",TRIM(Raw_Data!I108))</f>
        <v>Card</v>
      </c>
      <c r="O106" s="9" t="str">
        <f aca="false">PROPER(TRIM(Raw_Data!J108))</f>
        <v>Completed</v>
      </c>
      <c r="P106" s="9" t="str">
        <f aca="false">IF(O106="Completed","Completed","Not Completed")</f>
        <v>Completed</v>
      </c>
    </row>
    <row r="107" customFormat="false" ht="15" hidden="false" customHeight="false" outlineLevel="0" collapsed="false">
      <c r="A107" s="9" t="str">
        <f aca="false">Raw_Data!A109</f>
        <v>ORD1012</v>
      </c>
      <c r="B107" s="10" t="n">
        <f aca="false">IF(ISNUMBER(Raw_Data!B109),Raw_Data!B109,DATE(VALUE(RIGHT(Raw_Data!B109,4)),VALUE(MID(Raw_Data!B109,4,2)),VALUE(LEFT(Raw_Data!B109,2))))</f>
        <v>46256</v>
      </c>
      <c r="C107" s="9" t="str">
        <f aca="false">IFERROR(INDEX($T$10:$T$11,MATCH(PROPER(TRIM(Raw_Data!C109)),$S$10:$S$11,0)),PROPER(TRIM(Raw_Data!C109)))</f>
        <v>HSR Layout</v>
      </c>
      <c r="D107" s="9" t="str">
        <f aca="false">PROPER(TRIM(Raw_Data!D109))</f>
        <v>Croissant</v>
      </c>
      <c r="E107" s="9" t="str">
        <f aca="false">IFERROR(INDEX($T$6:$T$7,MATCH(PROPER(TRIM(Raw_Data!E109)),$S$6:$S$7,0)),PROPER(TRIM(Raw_Data!E109)))</f>
        <v>Bakery</v>
      </c>
      <c r="F107" s="9" t="n">
        <f aca="false">IF(TRIM(Raw_Data!F109&amp;"")="",1,VALUE(Raw_Data!F109))</f>
        <v>2</v>
      </c>
      <c r="G107" s="13" t="n">
        <f aca="false">VALUE(Raw_Data!G109)</f>
        <v>140</v>
      </c>
      <c r="H107" s="13" t="n">
        <f aca="false">F107*G107</f>
        <v>280</v>
      </c>
      <c r="I107" s="13" t="n">
        <f aca="false">VALUE(Raw_Data!H109)</f>
        <v>142</v>
      </c>
      <c r="J107" s="13" t="n">
        <f aca="false">H107-I107</f>
        <v>138</v>
      </c>
      <c r="K107" s="14" t="n">
        <f aca="false">IFERROR(J107/H107,0)</f>
        <v>0.492857142857143</v>
      </c>
      <c r="L107" s="9" t="str">
        <f aca="false">TEXT(B107,"MMM-YYYY")</f>
        <v>Aug-2026</v>
      </c>
      <c r="M107" s="9" t="n">
        <f aca="false">YEAR(B107)</f>
        <v>2026</v>
      </c>
      <c r="N107" s="9" t="str">
        <f aca="false">IF(TRIM(Raw_Data!I109&amp;"")="","Not Specified",TRIM(Raw_Data!I109))</f>
        <v>UPI</v>
      </c>
      <c r="O107" s="9" t="str">
        <f aca="false">PROPER(TRIM(Raw_Data!J109))</f>
        <v>Cancelled</v>
      </c>
      <c r="P107" s="9" t="str">
        <f aca="false">IF(O107="Completed","Completed","Not Completed")</f>
        <v>Not Completed</v>
      </c>
    </row>
    <row r="108" customFormat="false" ht="15" hidden="false" customHeight="false" outlineLevel="0" collapsed="false">
      <c r="A108" s="9" t="str">
        <f aca="false">Raw_Data!A110</f>
        <v>ORD1140</v>
      </c>
      <c r="B108" s="10" t="n">
        <f aca="false">IF(ISNUMBER(Raw_Data!B110),Raw_Data!B110,DATE(VALUE(RIGHT(Raw_Data!B110,4)),VALUE(MID(Raw_Data!B110,4,2)),VALUE(LEFT(Raw_Data!B110,2))))</f>
        <v>46220</v>
      </c>
      <c r="C108" s="9" t="str">
        <f aca="false">IFERROR(INDEX($T$10:$T$11,MATCH(PROPER(TRIM(Raw_Data!C110)),$S$10:$S$11,0)),PROPER(TRIM(Raw_Data!C110)))</f>
        <v>Indiranagar</v>
      </c>
      <c r="D108" s="9" t="str">
        <f aca="false">PROPER(TRIM(Raw_Data!D110))</f>
        <v>Danish Pastry</v>
      </c>
      <c r="E108" s="9" t="str">
        <f aca="false">IFERROR(INDEX($T$6:$T$7,MATCH(PROPER(TRIM(Raw_Data!E110)),$S$6:$S$7,0)),PROPER(TRIM(Raw_Data!E110)))</f>
        <v>Bakery</v>
      </c>
      <c r="F108" s="9" t="n">
        <f aca="false">IF(TRIM(Raw_Data!F110&amp;"")="",1,VALUE(Raw_Data!F110))</f>
        <v>2</v>
      </c>
      <c r="G108" s="13" t="n">
        <f aca="false">VALUE(Raw_Data!G110)</f>
        <v>160</v>
      </c>
      <c r="H108" s="13" t="n">
        <f aca="false">F108*G108</f>
        <v>320</v>
      </c>
      <c r="I108" s="13" t="n">
        <f aca="false">VALUE(Raw_Data!H110)</f>
        <v>136</v>
      </c>
      <c r="J108" s="13" t="n">
        <f aca="false">H108-I108</f>
        <v>184</v>
      </c>
      <c r="K108" s="14" t="n">
        <f aca="false">IFERROR(J108/H108,0)</f>
        <v>0.575</v>
      </c>
      <c r="L108" s="9" t="str">
        <f aca="false">TEXT(B108,"MMM-YYYY")</f>
        <v>Jul-2026</v>
      </c>
      <c r="M108" s="9" t="n">
        <f aca="false">YEAR(B108)</f>
        <v>2026</v>
      </c>
      <c r="N108" s="9" t="str">
        <f aca="false">IF(TRIM(Raw_Data!I110&amp;"")="","Not Specified",TRIM(Raw_Data!I110))</f>
        <v>UPI</v>
      </c>
      <c r="O108" s="9" t="str">
        <f aca="false">PROPER(TRIM(Raw_Data!J110))</f>
        <v>Cancelled</v>
      </c>
      <c r="P108" s="9" t="str">
        <f aca="false">IF(O108="Completed","Completed","Not Completed")</f>
        <v>Not Completed</v>
      </c>
    </row>
    <row r="109" customFormat="false" ht="15" hidden="false" customHeight="false" outlineLevel="0" collapsed="false">
      <c r="A109" s="9" t="str">
        <f aca="false">Raw_Data!A111</f>
        <v>ORD1050</v>
      </c>
      <c r="B109" s="10" t="n">
        <f aca="false">IF(ISNUMBER(Raw_Data!B111),Raw_Data!B111,DATE(VALUE(RIGHT(Raw_Data!B111,4)),VALUE(MID(Raw_Data!B111,4,2)),VALUE(LEFT(Raw_Data!B111,2))))</f>
        <v>46182</v>
      </c>
      <c r="C109" s="9" t="str">
        <f aca="false">IFERROR(INDEX($T$10:$T$11,MATCH(PROPER(TRIM(Raw_Data!C111)),$S$10:$S$11,0)),PROPER(TRIM(Raw_Data!C111)))</f>
        <v>Koramangala</v>
      </c>
      <c r="D109" s="9" t="str">
        <f aca="false">PROPER(TRIM(Raw_Data!D111))</f>
        <v>Frappe</v>
      </c>
      <c r="E109" s="9" t="str">
        <f aca="false">IFERROR(INDEX($T$6:$T$7,MATCH(PROPER(TRIM(Raw_Data!E111)),$S$6:$S$7,0)),PROPER(TRIM(Raw_Data!E111)))</f>
        <v>Cold Beverages</v>
      </c>
      <c r="F109" s="9" t="n">
        <f aca="false">IF(TRIM(Raw_Data!F111&amp;"")="",1,VALUE(Raw_Data!F111))</f>
        <v>4</v>
      </c>
      <c r="G109" s="13" t="n">
        <f aca="false">VALUE(Raw_Data!G111)</f>
        <v>240</v>
      </c>
      <c r="H109" s="13" t="n">
        <f aca="false">F109*G109</f>
        <v>960</v>
      </c>
      <c r="I109" s="13" t="n">
        <f aca="false">VALUE(Raw_Data!H111)</f>
        <v>375</v>
      </c>
      <c r="J109" s="13" t="n">
        <f aca="false">H109-I109</f>
        <v>585</v>
      </c>
      <c r="K109" s="14" t="n">
        <f aca="false">IFERROR(J109/H109,0)</f>
        <v>0.609375</v>
      </c>
      <c r="L109" s="9" t="str">
        <f aca="false">TEXT(B109,"MMM-YYYY")</f>
        <v>Jun-2026</v>
      </c>
      <c r="M109" s="9" t="n">
        <f aca="false">YEAR(B109)</f>
        <v>2026</v>
      </c>
      <c r="N109" s="9" t="str">
        <f aca="false">IF(TRIM(Raw_Data!I111&amp;"")="","Not Specified",TRIM(Raw_Data!I111))</f>
        <v>UPI</v>
      </c>
      <c r="O109" s="9" t="str">
        <f aca="false">PROPER(TRIM(Raw_Data!J111))</f>
        <v>Completed</v>
      </c>
      <c r="P109" s="9" t="str">
        <f aca="false">IF(O109="Completed","Completed","Not Completed")</f>
        <v>Completed</v>
      </c>
    </row>
    <row r="110" customFormat="false" ht="15" hidden="false" customHeight="false" outlineLevel="0" collapsed="false">
      <c r="A110" s="9" t="str">
        <f aca="false">Raw_Data!A112</f>
        <v>ORD1183</v>
      </c>
      <c r="B110" s="10" t="n">
        <f aca="false">IF(ISNUMBER(Raw_Data!B112),Raw_Data!B112,DATE(VALUE(RIGHT(Raw_Data!B112,4)),VALUE(MID(Raw_Data!B112,4,2)),VALUE(LEFT(Raw_Data!B112,2))))</f>
        <v>46265</v>
      </c>
      <c r="C110" s="9" t="str">
        <f aca="false">IFERROR(INDEX($T$10:$T$11,MATCH(PROPER(TRIM(Raw_Data!C112)),$S$10:$S$11,0)),PROPER(TRIM(Raw_Data!C112)))</f>
        <v>HSR Layout</v>
      </c>
      <c r="D110" s="9" t="str">
        <f aca="false">PROPER(TRIM(Raw_Data!D112))</f>
        <v>Filter Coffee</v>
      </c>
      <c r="E110" s="9" t="str">
        <f aca="false">IFERROR(INDEX($T$6:$T$7,MATCH(PROPER(TRIM(Raw_Data!E112)),$S$6:$S$7,0)),PROPER(TRIM(Raw_Data!E112)))</f>
        <v>Hot Beverages</v>
      </c>
      <c r="F110" s="9" t="n">
        <f aca="false">IF(TRIM(Raw_Data!F112&amp;"")="",1,VALUE(Raw_Data!F112))</f>
        <v>1</v>
      </c>
      <c r="G110" s="13" t="n">
        <f aca="false">VALUE(Raw_Data!G112)</f>
        <v>120</v>
      </c>
      <c r="H110" s="13" t="n">
        <f aca="false">F110*G110</f>
        <v>120</v>
      </c>
      <c r="I110" s="13" t="n">
        <f aca="false">VALUE(Raw_Data!H112)</f>
        <v>44</v>
      </c>
      <c r="J110" s="13" t="n">
        <f aca="false">H110-I110</f>
        <v>76</v>
      </c>
      <c r="K110" s="14" t="n">
        <f aca="false">IFERROR(J110/H110,0)</f>
        <v>0.633333333333333</v>
      </c>
      <c r="L110" s="9" t="str">
        <f aca="false">TEXT(B110,"MMM-YYYY")</f>
        <v>Aug-2026</v>
      </c>
      <c r="M110" s="9" t="n">
        <f aca="false">YEAR(B110)</f>
        <v>2026</v>
      </c>
      <c r="N110" s="9" t="str">
        <f aca="false">IF(TRIM(Raw_Data!I112&amp;"")="","Not Specified",TRIM(Raw_Data!I112))</f>
        <v>UPI</v>
      </c>
      <c r="O110" s="9" t="str">
        <f aca="false">PROPER(TRIM(Raw_Data!J112))</f>
        <v>Cancelled</v>
      </c>
      <c r="P110" s="9" t="str">
        <f aca="false">IF(O110="Completed","Completed","Not Completed")</f>
        <v>Not Completed</v>
      </c>
    </row>
    <row r="111" customFormat="false" ht="15" hidden="false" customHeight="false" outlineLevel="0" collapsed="false">
      <c r="A111" s="9" t="str">
        <f aca="false">Raw_Data!A113</f>
        <v>ORD1080</v>
      </c>
      <c r="B111" s="10" t="n">
        <f aca="false">IF(ISNUMBER(Raw_Data!B113),Raw_Data!B113,DATE(VALUE(RIGHT(Raw_Data!B113,4)),VALUE(MID(Raw_Data!B113,4,2)),VALUE(LEFT(Raw_Data!B113,2))))</f>
        <v>46231</v>
      </c>
      <c r="C111" s="9" t="str">
        <f aca="false">IFERROR(INDEX($T$10:$T$11,MATCH(PROPER(TRIM(Raw_Data!C113)),$S$10:$S$11,0)),PROPER(TRIM(Raw_Data!C113)))</f>
        <v>Whitefield</v>
      </c>
      <c r="D111" s="9" t="str">
        <f aca="false">PROPER(TRIM(Raw_Data!D113))</f>
        <v>Danish Pastry</v>
      </c>
      <c r="E111" s="9" t="str">
        <f aca="false">IFERROR(INDEX($T$6:$T$7,MATCH(PROPER(TRIM(Raw_Data!E113)),$S$6:$S$7,0)),PROPER(TRIM(Raw_Data!E113)))</f>
        <v>Bakery</v>
      </c>
      <c r="F111" s="9" t="n">
        <f aca="false">IF(TRIM(Raw_Data!F113&amp;"")="",1,VALUE(Raw_Data!F113))</f>
        <v>1</v>
      </c>
      <c r="G111" s="13" t="n">
        <f aca="false">VALUE(Raw_Data!G113)</f>
        <v>160</v>
      </c>
      <c r="H111" s="13" t="n">
        <f aca="false">F111*G111</f>
        <v>160</v>
      </c>
      <c r="I111" s="13" t="n">
        <f aca="false">VALUE(Raw_Data!H113)</f>
        <v>82</v>
      </c>
      <c r="J111" s="13" t="n">
        <f aca="false">H111-I111</f>
        <v>78</v>
      </c>
      <c r="K111" s="14" t="n">
        <f aca="false">IFERROR(J111/H111,0)</f>
        <v>0.4875</v>
      </c>
      <c r="L111" s="9" t="str">
        <f aca="false">TEXT(B111,"MMM-YYYY")</f>
        <v>Jul-2026</v>
      </c>
      <c r="M111" s="9" t="n">
        <f aca="false">YEAR(B111)</f>
        <v>2026</v>
      </c>
      <c r="N111" s="9" t="str">
        <f aca="false">IF(TRIM(Raw_Data!I113&amp;"")="","Not Specified",TRIM(Raw_Data!I113))</f>
        <v>UPI</v>
      </c>
      <c r="O111" s="9" t="str">
        <f aca="false">PROPER(TRIM(Raw_Data!J113))</f>
        <v>Completed</v>
      </c>
      <c r="P111" s="9" t="str">
        <f aca="false">IF(O111="Completed","Completed","Not Completed")</f>
        <v>Completed</v>
      </c>
    </row>
    <row r="112" customFormat="false" ht="15" hidden="false" customHeight="false" outlineLevel="0" collapsed="false">
      <c r="A112" s="9" t="str">
        <f aca="false">Raw_Data!A114</f>
        <v>ORD1066</v>
      </c>
      <c r="B112" s="10" t="n">
        <f aca="false">IF(ISNUMBER(Raw_Data!B114),Raw_Data!B114,DATE(VALUE(RIGHT(Raw_Data!B114,4)),VALUE(MID(Raw_Data!B114,4,2)),VALUE(LEFT(Raw_Data!B114,2))))</f>
        <v>46257</v>
      </c>
      <c r="C112" s="9" t="str">
        <f aca="false">IFERROR(INDEX($T$10:$T$11,MATCH(PROPER(TRIM(Raw_Data!C114)),$S$10:$S$11,0)),PROPER(TRIM(Raw_Data!C114)))</f>
        <v>Indiranagar</v>
      </c>
      <c r="D112" s="9" t="str">
        <f aca="false">PROPER(TRIM(Raw_Data!D114))</f>
        <v>Frappe</v>
      </c>
      <c r="E112" s="9" t="str">
        <f aca="false">IFERROR(INDEX($T$6:$T$7,MATCH(PROPER(TRIM(Raw_Data!E114)),$S$6:$S$7,0)),PROPER(TRIM(Raw_Data!E114)))</f>
        <v>Cold Beverages</v>
      </c>
      <c r="F112" s="9" t="n">
        <f aca="false">IF(TRIM(Raw_Data!F114&amp;"")="",1,VALUE(Raw_Data!F114))</f>
        <v>2</v>
      </c>
      <c r="G112" s="13" t="n">
        <f aca="false">VALUE(Raw_Data!G114)</f>
        <v>240</v>
      </c>
      <c r="H112" s="13" t="n">
        <f aca="false">F112*G112</f>
        <v>480</v>
      </c>
      <c r="I112" s="13" t="n">
        <f aca="false">VALUE(Raw_Data!H114)</f>
        <v>183</v>
      </c>
      <c r="J112" s="13" t="n">
        <f aca="false">H112-I112</f>
        <v>297</v>
      </c>
      <c r="K112" s="14" t="n">
        <f aca="false">IFERROR(J112/H112,0)</f>
        <v>0.61875</v>
      </c>
      <c r="L112" s="9" t="str">
        <f aca="false">TEXT(B112,"MMM-YYYY")</f>
        <v>Aug-2026</v>
      </c>
      <c r="M112" s="9" t="n">
        <f aca="false">YEAR(B112)</f>
        <v>2026</v>
      </c>
      <c r="N112" s="9" t="str">
        <f aca="false">IF(TRIM(Raw_Data!I114&amp;"")="","Not Specified",TRIM(Raw_Data!I114))</f>
        <v>UPI</v>
      </c>
      <c r="O112" s="9" t="str">
        <f aca="false">PROPER(TRIM(Raw_Data!J114))</f>
        <v>Completed</v>
      </c>
      <c r="P112" s="9" t="str">
        <f aca="false">IF(O112="Completed","Completed","Not Completed")</f>
        <v>Completed</v>
      </c>
    </row>
    <row r="113" customFormat="false" ht="15" hidden="false" customHeight="false" outlineLevel="0" collapsed="false">
      <c r="A113" s="9" t="str">
        <f aca="false">Raw_Data!A115</f>
        <v>ORD1124</v>
      </c>
      <c r="B113" s="10" t="n">
        <f aca="false">IF(ISNUMBER(Raw_Data!B115),Raw_Data!B115,DATE(VALUE(RIGHT(Raw_Data!B115,4)),VALUE(MID(Raw_Data!B115,4,2)),VALUE(LEFT(Raw_Data!B115,2))))</f>
        <v>46184</v>
      </c>
      <c r="C113" s="9" t="str">
        <f aca="false">IFERROR(INDEX($T$10:$T$11,MATCH(PROPER(TRIM(Raw_Data!C115)),$S$10:$S$11,0)),PROPER(TRIM(Raw_Data!C115)))</f>
        <v>Indiranagar</v>
      </c>
      <c r="D113" s="9" t="str">
        <f aca="false">PROPER(TRIM(Raw_Data!D115))</f>
        <v>Danish Pastry</v>
      </c>
      <c r="E113" s="9" t="str">
        <f aca="false">IFERROR(INDEX($T$6:$T$7,MATCH(PROPER(TRIM(Raw_Data!E115)),$S$6:$S$7,0)),PROPER(TRIM(Raw_Data!E115)))</f>
        <v>Bakery</v>
      </c>
      <c r="F113" s="9" t="n">
        <f aca="false">IF(TRIM(Raw_Data!F115&amp;"")="",1,VALUE(Raw_Data!F115))</f>
        <v>2</v>
      </c>
      <c r="G113" s="13" t="n">
        <f aca="false">VALUE(Raw_Data!G115)</f>
        <v>160</v>
      </c>
      <c r="H113" s="13" t="n">
        <f aca="false">F113*G113</f>
        <v>320</v>
      </c>
      <c r="I113" s="13" t="n">
        <f aca="false">VALUE(Raw_Data!H115)</f>
        <v>137</v>
      </c>
      <c r="J113" s="13" t="n">
        <f aca="false">H113-I113</f>
        <v>183</v>
      </c>
      <c r="K113" s="14" t="n">
        <f aca="false">IFERROR(J113/H113,0)</f>
        <v>0.571875</v>
      </c>
      <c r="L113" s="9" t="str">
        <f aca="false">TEXT(B113,"MMM-YYYY")</f>
        <v>Jun-2026</v>
      </c>
      <c r="M113" s="9" t="n">
        <f aca="false">YEAR(B113)</f>
        <v>2026</v>
      </c>
      <c r="N113" s="9" t="str">
        <f aca="false">IF(TRIM(Raw_Data!I115&amp;"")="","Not Specified",TRIM(Raw_Data!I115))</f>
        <v>UPI</v>
      </c>
      <c r="O113" s="9" t="str">
        <f aca="false">PROPER(TRIM(Raw_Data!J115))</f>
        <v>Completed</v>
      </c>
      <c r="P113" s="9" t="str">
        <f aca="false">IF(O113="Completed","Completed","Not Completed")</f>
        <v>Completed</v>
      </c>
    </row>
    <row r="114" customFormat="false" ht="15" hidden="false" customHeight="false" outlineLevel="0" collapsed="false">
      <c r="A114" s="9" t="str">
        <f aca="false">Raw_Data!A116</f>
        <v>ORD1068</v>
      </c>
      <c r="B114" s="10" t="n">
        <f aca="false">IF(ISNUMBER(Raw_Data!B116),Raw_Data!B116,DATE(VALUE(RIGHT(Raw_Data!B116,4)),VALUE(MID(Raw_Data!B116,4,2)),VALUE(LEFT(Raw_Data!B116,2))))</f>
        <v>46241</v>
      </c>
      <c r="C114" s="9" t="str">
        <f aca="false">IFERROR(INDEX($T$10:$T$11,MATCH(PROPER(TRIM(Raw_Data!C116)),$S$10:$S$11,0)),PROPER(TRIM(Raw_Data!C116)))</f>
        <v>Indiranagar</v>
      </c>
      <c r="D114" s="9" t="str">
        <f aca="false">PROPER(TRIM(Raw_Data!D116))</f>
        <v>Danish Pastry</v>
      </c>
      <c r="E114" s="9" t="str">
        <f aca="false">IFERROR(INDEX($T$6:$T$7,MATCH(PROPER(TRIM(Raw_Data!E116)),$S$6:$S$7,0)),PROPER(TRIM(Raw_Data!E116)))</f>
        <v>Bakery</v>
      </c>
      <c r="F114" s="9" t="n">
        <f aca="false">IF(TRIM(Raw_Data!F116&amp;"")="",1,VALUE(Raw_Data!F116))</f>
        <v>2</v>
      </c>
      <c r="G114" s="13" t="n">
        <f aca="false">VALUE(Raw_Data!G116)</f>
        <v>160</v>
      </c>
      <c r="H114" s="13" t="n">
        <f aca="false">F114*G114</f>
        <v>320</v>
      </c>
      <c r="I114" s="13" t="n">
        <f aca="false">VALUE(Raw_Data!H116)</f>
        <v>156</v>
      </c>
      <c r="J114" s="13" t="n">
        <f aca="false">H114-I114</f>
        <v>164</v>
      </c>
      <c r="K114" s="14" t="n">
        <f aca="false">IFERROR(J114/H114,0)</f>
        <v>0.5125</v>
      </c>
      <c r="L114" s="9" t="str">
        <f aca="false">TEXT(B114,"MMM-YYYY")</f>
        <v>Aug-2026</v>
      </c>
      <c r="M114" s="9" t="n">
        <f aca="false">YEAR(B114)</f>
        <v>2026</v>
      </c>
      <c r="N114" s="9" t="str">
        <f aca="false">IF(TRIM(Raw_Data!I116&amp;"")="","Not Specified",TRIM(Raw_Data!I116))</f>
        <v>UPI</v>
      </c>
      <c r="O114" s="9" t="str">
        <f aca="false">PROPER(TRIM(Raw_Data!J116))</f>
        <v>Completed</v>
      </c>
      <c r="P114" s="9" t="str">
        <f aca="false">IF(O114="Completed","Completed","Not Completed")</f>
        <v>Completed</v>
      </c>
    </row>
    <row r="115" customFormat="false" ht="15" hidden="false" customHeight="false" outlineLevel="0" collapsed="false">
      <c r="A115" s="9" t="str">
        <f aca="false">Raw_Data!A117</f>
        <v>ORD1082</v>
      </c>
      <c r="B115" s="10" t="n">
        <f aca="false">IF(ISNUMBER(Raw_Data!B117),Raw_Data!B117,DATE(VALUE(RIGHT(Raw_Data!B117,4)),VALUE(MID(Raw_Data!B117,4,2)),VALUE(LEFT(Raw_Data!B117,2))))</f>
        <v>46264</v>
      </c>
      <c r="C115" s="9" t="str">
        <f aca="false">IFERROR(INDEX($T$10:$T$11,MATCH(PROPER(TRIM(Raw_Data!C117)),$S$10:$S$11,0)),PROPER(TRIM(Raw_Data!C117)))</f>
        <v>Whitefield</v>
      </c>
      <c r="D115" s="9" t="str">
        <f aca="false">PROPER(TRIM(Raw_Data!D117))</f>
        <v>Frappe</v>
      </c>
      <c r="E115" s="9" t="str">
        <f aca="false">IFERROR(INDEX($T$6:$T$7,MATCH(PROPER(TRIM(Raw_Data!E117)),$S$6:$S$7,0)),PROPER(TRIM(Raw_Data!E117)))</f>
        <v>Cold Beverages</v>
      </c>
      <c r="F115" s="9" t="n">
        <f aca="false">IF(TRIM(Raw_Data!F117&amp;"")="",1,VALUE(Raw_Data!F117))</f>
        <v>2</v>
      </c>
      <c r="G115" s="13" t="n">
        <f aca="false">VALUE(Raw_Data!G117)</f>
        <v>240</v>
      </c>
      <c r="H115" s="13" t="n">
        <f aca="false">F115*G115</f>
        <v>480</v>
      </c>
      <c r="I115" s="13" t="n">
        <f aca="false">VALUE(Raw_Data!H117)</f>
        <v>224</v>
      </c>
      <c r="J115" s="13" t="n">
        <f aca="false">H115-I115</f>
        <v>256</v>
      </c>
      <c r="K115" s="14" t="n">
        <f aca="false">IFERROR(J115/H115,0)</f>
        <v>0.533333333333333</v>
      </c>
      <c r="L115" s="9" t="str">
        <f aca="false">TEXT(B115,"MMM-YYYY")</f>
        <v>Aug-2026</v>
      </c>
      <c r="M115" s="9" t="n">
        <f aca="false">YEAR(B115)</f>
        <v>2026</v>
      </c>
      <c r="N115" s="9" t="str">
        <f aca="false">IF(TRIM(Raw_Data!I117&amp;"")="","Not Specified",TRIM(Raw_Data!I117))</f>
        <v>UPI</v>
      </c>
      <c r="O115" s="9" t="str">
        <f aca="false">PROPER(TRIM(Raw_Data!J117))</f>
        <v>Completed</v>
      </c>
      <c r="P115" s="9" t="str">
        <f aca="false">IF(O115="Completed","Completed","Not Completed")</f>
        <v>Completed</v>
      </c>
    </row>
    <row r="116" customFormat="false" ht="15" hidden="false" customHeight="false" outlineLevel="0" collapsed="false">
      <c r="A116" s="9" t="str">
        <f aca="false">Raw_Data!A118</f>
        <v>ORD1090</v>
      </c>
      <c r="B116" s="10" t="n">
        <f aca="false">IF(ISNUMBER(Raw_Data!B118),Raw_Data!B118,DATE(VALUE(RIGHT(Raw_Data!B118,4)),VALUE(MID(Raw_Data!B118,4,2)),VALUE(LEFT(Raw_Data!B118,2))))</f>
        <v>46256</v>
      </c>
      <c r="C116" s="9" t="str">
        <f aca="false">IFERROR(INDEX($T$10:$T$11,MATCH(PROPER(TRIM(Raw_Data!C118)),$S$10:$S$11,0)),PROPER(TRIM(Raw_Data!C118)))</f>
        <v>Whitefield</v>
      </c>
      <c r="D116" s="9" t="str">
        <f aca="false">PROPER(TRIM(Raw_Data!D118))</f>
        <v>Garlic Bread</v>
      </c>
      <c r="E116" s="9" t="str">
        <f aca="false">IFERROR(INDEX($T$6:$T$7,MATCH(PROPER(TRIM(Raw_Data!E118)),$S$6:$S$7,0)),PROPER(TRIM(Raw_Data!E118)))</f>
        <v>Snacks</v>
      </c>
      <c r="F116" s="9" t="n">
        <f aca="false">IF(TRIM(Raw_Data!F118&amp;"")="",1,VALUE(Raw_Data!F118))</f>
        <v>1</v>
      </c>
      <c r="G116" s="13" t="n">
        <f aca="false">VALUE(Raw_Data!G118)</f>
        <v>150</v>
      </c>
      <c r="H116" s="13" t="n">
        <f aca="false">F116*G116</f>
        <v>150</v>
      </c>
      <c r="I116" s="13" t="n">
        <f aca="false">VALUE(Raw_Data!H118)</f>
        <v>81</v>
      </c>
      <c r="J116" s="13" t="n">
        <f aca="false">H116-I116</f>
        <v>69</v>
      </c>
      <c r="K116" s="14" t="n">
        <f aca="false">IFERROR(J116/H116,0)</f>
        <v>0.46</v>
      </c>
      <c r="L116" s="9" t="str">
        <f aca="false">TEXT(B116,"MMM-YYYY")</f>
        <v>Aug-2026</v>
      </c>
      <c r="M116" s="9" t="n">
        <f aca="false">YEAR(B116)</f>
        <v>2026</v>
      </c>
      <c r="N116" s="9" t="str">
        <f aca="false">IF(TRIM(Raw_Data!I118&amp;"")="","Not Specified",TRIM(Raw_Data!I118))</f>
        <v>UPI</v>
      </c>
      <c r="O116" s="9" t="str">
        <f aca="false">PROPER(TRIM(Raw_Data!J118))</f>
        <v>Completed</v>
      </c>
      <c r="P116" s="9" t="str">
        <f aca="false">IF(O116="Completed","Completed","Not Completed")</f>
        <v>Completed</v>
      </c>
    </row>
    <row r="117" customFormat="false" ht="15" hidden="false" customHeight="false" outlineLevel="0" collapsed="false">
      <c r="A117" s="9" t="str">
        <f aca="false">Raw_Data!A119</f>
        <v>ORD1094</v>
      </c>
      <c r="B117" s="10" t="n">
        <f aca="false">IF(ISNUMBER(Raw_Data!B119),Raw_Data!B119,DATE(VALUE(RIGHT(Raw_Data!B119,4)),VALUE(MID(Raw_Data!B119,4,2)),VALUE(LEFT(Raw_Data!B119,2))))</f>
        <v>46244</v>
      </c>
      <c r="C117" s="9" t="str">
        <f aca="false">IFERROR(INDEX($T$10:$T$11,MATCH(PROPER(TRIM(Raw_Data!C119)),$S$10:$S$11,0)),PROPER(TRIM(Raw_Data!C119)))</f>
        <v>Indiranagar</v>
      </c>
      <c r="D117" s="9" t="str">
        <f aca="false">PROPER(TRIM(Raw_Data!D119))</f>
        <v>Frappe</v>
      </c>
      <c r="E117" s="9" t="str">
        <f aca="false">IFERROR(INDEX($T$6:$T$7,MATCH(PROPER(TRIM(Raw_Data!E119)),$S$6:$S$7,0)),PROPER(TRIM(Raw_Data!E119)))</f>
        <v>Cold Beverages</v>
      </c>
      <c r="F117" s="9" t="n">
        <f aca="false">IF(TRIM(Raw_Data!F119&amp;"")="",1,VALUE(Raw_Data!F119))</f>
        <v>1</v>
      </c>
      <c r="G117" s="13" t="n">
        <f aca="false">VALUE(Raw_Data!G119)</f>
        <v>240</v>
      </c>
      <c r="H117" s="13" t="n">
        <f aca="false">F117*G117</f>
        <v>240</v>
      </c>
      <c r="I117" s="13" t="n">
        <f aca="false">VALUE(Raw_Data!H119)</f>
        <v>99</v>
      </c>
      <c r="J117" s="13" t="n">
        <f aca="false">H117-I117</f>
        <v>141</v>
      </c>
      <c r="K117" s="14" t="n">
        <f aca="false">IFERROR(J117/H117,0)</f>
        <v>0.5875</v>
      </c>
      <c r="L117" s="9" t="str">
        <f aca="false">TEXT(B117,"MMM-YYYY")</f>
        <v>Aug-2026</v>
      </c>
      <c r="M117" s="9" t="n">
        <f aca="false">YEAR(B117)</f>
        <v>2026</v>
      </c>
      <c r="N117" s="9" t="str">
        <f aca="false">IF(TRIM(Raw_Data!I119&amp;"")="","Not Specified",TRIM(Raw_Data!I119))</f>
        <v>UPI</v>
      </c>
      <c r="O117" s="9" t="str">
        <f aca="false">PROPER(TRIM(Raw_Data!J119))</f>
        <v>Completed</v>
      </c>
      <c r="P117" s="9" t="str">
        <f aca="false">IF(O117="Completed","Completed","Not Completed")</f>
        <v>Completed</v>
      </c>
    </row>
    <row r="118" customFormat="false" ht="15" hidden="false" customHeight="false" outlineLevel="0" collapsed="false">
      <c r="A118" s="9" t="str">
        <f aca="false">Raw_Data!A120</f>
        <v>ORD1075</v>
      </c>
      <c r="B118" s="10" t="n">
        <f aca="false">IF(ISNUMBER(Raw_Data!B120),Raw_Data!B120,DATE(VALUE(RIGHT(Raw_Data!B120,4)),VALUE(MID(Raw_Data!B120,4,2)),VALUE(LEFT(Raw_Data!B120,2))))</f>
        <v>46183</v>
      </c>
      <c r="C118" s="9" t="str">
        <f aca="false">IFERROR(INDEX($T$10:$T$11,MATCH(PROPER(TRIM(Raw_Data!C120)),$S$10:$S$11,0)),PROPER(TRIM(Raw_Data!C120)))</f>
        <v>HSR Layout</v>
      </c>
      <c r="D118" s="9" t="str">
        <f aca="false">PROPER(TRIM(Raw_Data!D120))</f>
        <v>Croissant</v>
      </c>
      <c r="E118" s="9" t="str">
        <f aca="false">IFERROR(INDEX($T$6:$T$7,MATCH(PROPER(TRIM(Raw_Data!E120)),$S$6:$S$7,0)),PROPER(TRIM(Raw_Data!E120)))</f>
        <v>Bakery</v>
      </c>
      <c r="F118" s="9" t="n">
        <f aca="false">IF(TRIM(Raw_Data!F120&amp;"")="",1,VALUE(Raw_Data!F120))</f>
        <v>2</v>
      </c>
      <c r="G118" s="13" t="n">
        <f aca="false">VALUE(Raw_Data!G120)</f>
        <v>140</v>
      </c>
      <c r="H118" s="13" t="n">
        <f aca="false">F118*G118</f>
        <v>280</v>
      </c>
      <c r="I118" s="13" t="n">
        <f aca="false">VALUE(Raw_Data!H120)</f>
        <v>133</v>
      </c>
      <c r="J118" s="13" t="n">
        <f aca="false">H118-I118</f>
        <v>147</v>
      </c>
      <c r="K118" s="14" t="n">
        <f aca="false">IFERROR(J118/H118,0)</f>
        <v>0.525</v>
      </c>
      <c r="L118" s="9" t="str">
        <f aca="false">TEXT(B118,"MMM-YYYY")</f>
        <v>Jun-2026</v>
      </c>
      <c r="M118" s="9" t="n">
        <f aca="false">YEAR(B118)</f>
        <v>2026</v>
      </c>
      <c r="N118" s="9" t="str">
        <f aca="false">IF(TRIM(Raw_Data!I120&amp;"")="","Not Specified",TRIM(Raw_Data!I120))</f>
        <v>Cash</v>
      </c>
      <c r="O118" s="9" t="str">
        <f aca="false">PROPER(TRIM(Raw_Data!J120))</f>
        <v>Completed</v>
      </c>
      <c r="P118" s="9" t="str">
        <f aca="false">IF(O118="Completed","Completed","Not Completed")</f>
        <v>Completed</v>
      </c>
    </row>
    <row r="119" customFormat="false" ht="15" hidden="false" customHeight="false" outlineLevel="0" collapsed="false">
      <c r="A119" s="9" t="str">
        <f aca="false">Raw_Data!A121</f>
        <v>ORD1087</v>
      </c>
      <c r="B119" s="10" t="n">
        <f aca="false">IF(ISNUMBER(Raw_Data!B121),Raw_Data!B121,DATE(VALUE(RIGHT(Raw_Data!B121,4)),VALUE(MID(Raw_Data!B121,4,2)),VALUE(LEFT(Raw_Data!B121,2))))</f>
        <v>46258</v>
      </c>
      <c r="C119" s="9" t="str">
        <f aca="false">IFERROR(INDEX($T$10:$T$11,MATCH(PROPER(TRIM(Raw_Data!C121)),$S$10:$S$11,0)),PROPER(TRIM(Raw_Data!C121)))</f>
        <v>Whitefield</v>
      </c>
      <c r="D119" s="9" t="str">
        <f aca="false">PROPER(TRIM(Raw_Data!D121))</f>
        <v>Hot Chocolate</v>
      </c>
      <c r="E119" s="9" t="str">
        <f aca="false">IFERROR(INDEX($T$6:$T$7,MATCH(PROPER(TRIM(Raw_Data!E121)),$S$6:$S$7,0)),PROPER(TRIM(Raw_Data!E121)))</f>
        <v>Hot Beverages</v>
      </c>
      <c r="F119" s="9" t="n">
        <f aca="false">IF(TRIM(Raw_Data!F121&amp;"")="",1,VALUE(Raw_Data!F121))</f>
        <v>1</v>
      </c>
      <c r="G119" s="13" t="n">
        <f aca="false">VALUE(Raw_Data!G121)</f>
        <v>170</v>
      </c>
      <c r="H119" s="13" t="n">
        <f aca="false">F119*G119</f>
        <v>170</v>
      </c>
      <c r="I119" s="13" t="n">
        <f aca="false">VALUE(Raw_Data!H121)</f>
        <v>64</v>
      </c>
      <c r="J119" s="13" t="n">
        <f aca="false">H119-I119</f>
        <v>106</v>
      </c>
      <c r="K119" s="14" t="n">
        <f aca="false">IFERROR(J119/H119,0)</f>
        <v>0.623529411764706</v>
      </c>
      <c r="L119" s="9" t="str">
        <f aca="false">TEXT(B119,"MMM-YYYY")</f>
        <v>Aug-2026</v>
      </c>
      <c r="M119" s="9" t="n">
        <f aca="false">YEAR(B119)</f>
        <v>2026</v>
      </c>
      <c r="N119" s="9" t="str">
        <f aca="false">IF(TRIM(Raw_Data!I121&amp;"")="","Not Specified",TRIM(Raw_Data!I121))</f>
        <v>UPI</v>
      </c>
      <c r="O119" s="9" t="str">
        <f aca="false">PROPER(TRIM(Raw_Data!J121))</f>
        <v>Completed</v>
      </c>
      <c r="P119" s="9" t="str">
        <f aca="false">IF(O119="Completed","Completed","Not Completed")</f>
        <v>Completed</v>
      </c>
    </row>
    <row r="120" customFormat="false" ht="15" hidden="false" customHeight="false" outlineLevel="0" collapsed="false">
      <c r="A120" s="9" t="str">
        <f aca="false">Raw_Data!A122</f>
        <v>ORD1150</v>
      </c>
      <c r="B120" s="10" t="n">
        <f aca="false">IF(ISNUMBER(Raw_Data!B122),Raw_Data!B122,DATE(VALUE(RIGHT(Raw_Data!B122,4)),VALUE(MID(Raw_Data!B122,4,2)),VALUE(LEFT(Raw_Data!B122,2))))</f>
        <v>46238</v>
      </c>
      <c r="C120" s="9" t="str">
        <f aca="false">IFERROR(INDEX($T$10:$T$11,MATCH(PROPER(TRIM(Raw_Data!C122)),$S$10:$S$11,0)),PROPER(TRIM(Raw_Data!C122)))</f>
        <v>HSR Layout</v>
      </c>
      <c r="D120" s="9" t="str">
        <f aca="false">PROPER(TRIM(Raw_Data!D122))</f>
        <v>Cold Brew</v>
      </c>
      <c r="E120" s="9" t="str">
        <f aca="false">IFERROR(INDEX($T$6:$T$7,MATCH(PROPER(TRIM(Raw_Data!E122)),$S$6:$S$7,0)),PROPER(TRIM(Raw_Data!E122)))</f>
        <v>Cold Beverages</v>
      </c>
      <c r="F120" s="9" t="n">
        <f aca="false">IF(TRIM(Raw_Data!F122&amp;"")="",1,VALUE(Raw_Data!F122))</f>
        <v>1</v>
      </c>
      <c r="G120" s="13" t="n">
        <f aca="false">VALUE(Raw_Data!G122)</f>
        <v>220</v>
      </c>
      <c r="H120" s="13" t="n">
        <f aca="false">F120*G120</f>
        <v>220</v>
      </c>
      <c r="I120" s="13" t="n">
        <f aca="false">VALUE(Raw_Data!H122)</f>
        <v>97</v>
      </c>
      <c r="J120" s="13" t="n">
        <f aca="false">H120-I120</f>
        <v>123</v>
      </c>
      <c r="K120" s="14" t="n">
        <f aca="false">IFERROR(J120/H120,0)</f>
        <v>0.559090909090909</v>
      </c>
      <c r="L120" s="9" t="str">
        <f aca="false">TEXT(B120,"MMM-YYYY")</f>
        <v>Aug-2026</v>
      </c>
      <c r="M120" s="9" t="n">
        <f aca="false">YEAR(B120)</f>
        <v>2026</v>
      </c>
      <c r="N120" s="9" t="str">
        <f aca="false">IF(TRIM(Raw_Data!I122&amp;"")="","Not Specified",TRIM(Raw_Data!I122))</f>
        <v>UPI</v>
      </c>
      <c r="O120" s="9" t="str">
        <f aca="false">PROPER(TRIM(Raw_Data!J122))</f>
        <v>Completed</v>
      </c>
      <c r="P120" s="9" t="str">
        <f aca="false">IF(O120="Completed","Completed","Not Completed")</f>
        <v>Completed</v>
      </c>
    </row>
    <row r="121" customFormat="false" ht="15" hidden="false" customHeight="false" outlineLevel="0" collapsed="false">
      <c r="A121" s="9" t="str">
        <f aca="false">Raw_Data!A123</f>
        <v>ORD1032</v>
      </c>
      <c r="B121" s="10" t="n">
        <f aca="false">IF(ISNUMBER(Raw_Data!B123),Raw_Data!B123,DATE(VALUE(RIGHT(Raw_Data!B123,4)),VALUE(MID(Raw_Data!B123,4,2)),VALUE(LEFT(Raw_Data!B123,2))))</f>
        <v>46189</v>
      </c>
      <c r="C121" s="9" t="str">
        <f aca="false">IFERROR(INDEX($T$10:$T$11,MATCH(PROPER(TRIM(Raw_Data!C123)),$S$10:$S$11,0)),PROPER(TRIM(Raw_Data!C123)))</f>
        <v>HSR Layout</v>
      </c>
      <c r="D121" s="9" t="str">
        <f aca="false">PROPER(TRIM(Raw_Data!D123))</f>
        <v>Iced Latte</v>
      </c>
      <c r="E121" s="9" t="str">
        <f aca="false">IFERROR(INDEX($T$6:$T$7,MATCH(PROPER(TRIM(Raw_Data!E123)),$S$6:$S$7,0)),PROPER(TRIM(Raw_Data!E123)))</f>
        <v>Cold Beverages</v>
      </c>
      <c r="F121" s="9" t="n">
        <f aca="false">IF(TRIM(Raw_Data!F123&amp;"")="",1,VALUE(Raw_Data!F123))</f>
        <v>2</v>
      </c>
      <c r="G121" s="13" t="n">
        <f aca="false">VALUE(Raw_Data!G123)</f>
        <v>200</v>
      </c>
      <c r="H121" s="13" t="n">
        <f aca="false">F121*G121</f>
        <v>400</v>
      </c>
      <c r="I121" s="13" t="n">
        <f aca="false">VALUE(Raw_Data!H123)</f>
        <v>159</v>
      </c>
      <c r="J121" s="13" t="n">
        <f aca="false">H121-I121</f>
        <v>241</v>
      </c>
      <c r="K121" s="14" t="n">
        <f aca="false">IFERROR(J121/H121,0)</f>
        <v>0.6025</v>
      </c>
      <c r="L121" s="9" t="str">
        <f aca="false">TEXT(B121,"MMM-YYYY")</f>
        <v>Jun-2026</v>
      </c>
      <c r="M121" s="9" t="n">
        <f aca="false">YEAR(B121)</f>
        <v>2026</v>
      </c>
      <c r="N121" s="9" t="str">
        <f aca="false">IF(TRIM(Raw_Data!I123&amp;"")="","Not Specified",TRIM(Raw_Data!I123))</f>
        <v>Cash</v>
      </c>
      <c r="O121" s="9" t="str">
        <f aca="false">PROPER(TRIM(Raw_Data!J123))</f>
        <v>Completed</v>
      </c>
      <c r="P121" s="9" t="str">
        <f aca="false">IF(O121="Completed","Completed","Not Completed")</f>
        <v>Completed</v>
      </c>
    </row>
    <row r="122" customFormat="false" ht="15" hidden="false" customHeight="false" outlineLevel="0" collapsed="false">
      <c r="A122" s="9" t="str">
        <f aca="false">Raw_Data!A124</f>
        <v>ORD1033</v>
      </c>
      <c r="B122" s="10" t="n">
        <f aca="false">IF(ISNUMBER(Raw_Data!B124),Raw_Data!B124,DATE(VALUE(RIGHT(Raw_Data!B124,4)),VALUE(MID(Raw_Data!B124,4,2)),VALUE(LEFT(Raw_Data!B124,2))))</f>
        <v>46224</v>
      </c>
      <c r="C122" s="9" t="str">
        <f aca="false">IFERROR(INDEX($T$10:$T$11,MATCH(PROPER(TRIM(Raw_Data!C124)),$S$10:$S$11,0)),PROPER(TRIM(Raw_Data!C124)))</f>
        <v>HSR Layout</v>
      </c>
      <c r="D122" s="9" t="str">
        <f aca="false">PROPER(TRIM(Raw_Data!D124))</f>
        <v>Danish Pastry</v>
      </c>
      <c r="E122" s="9" t="str">
        <f aca="false">IFERROR(INDEX($T$6:$T$7,MATCH(PROPER(TRIM(Raw_Data!E124)),$S$6:$S$7,0)),PROPER(TRIM(Raw_Data!E124)))</f>
        <v>Bakery</v>
      </c>
      <c r="F122" s="9" t="n">
        <f aca="false">IF(TRIM(Raw_Data!F124&amp;"")="",1,VALUE(Raw_Data!F124))</f>
        <v>2</v>
      </c>
      <c r="G122" s="13" t="n">
        <f aca="false">VALUE(Raw_Data!G124)</f>
        <v>160</v>
      </c>
      <c r="H122" s="13" t="n">
        <f aca="false">F122*G122</f>
        <v>320</v>
      </c>
      <c r="I122" s="13" t="n">
        <f aca="false">VALUE(Raw_Data!H124)</f>
        <v>131</v>
      </c>
      <c r="J122" s="13" t="n">
        <f aca="false">H122-I122</f>
        <v>189</v>
      </c>
      <c r="K122" s="14" t="n">
        <f aca="false">IFERROR(J122/H122,0)</f>
        <v>0.590625</v>
      </c>
      <c r="L122" s="9" t="str">
        <f aca="false">TEXT(B122,"MMM-YYYY")</f>
        <v>Jul-2026</v>
      </c>
      <c r="M122" s="9" t="n">
        <f aca="false">YEAR(B122)</f>
        <v>2026</v>
      </c>
      <c r="N122" s="9" t="str">
        <f aca="false">IF(TRIM(Raw_Data!I124&amp;"")="","Not Specified",TRIM(Raw_Data!I124))</f>
        <v>UPI</v>
      </c>
      <c r="O122" s="9" t="str">
        <f aca="false">PROPER(TRIM(Raw_Data!J124))</f>
        <v>Cancelled</v>
      </c>
      <c r="P122" s="9" t="str">
        <f aca="false">IF(O122="Completed","Completed","Not Completed")</f>
        <v>Not Completed</v>
      </c>
    </row>
    <row r="123" customFormat="false" ht="15" hidden="false" customHeight="false" outlineLevel="0" collapsed="false">
      <c r="A123" s="9" t="str">
        <f aca="false">Raw_Data!A125</f>
        <v>ORD1159</v>
      </c>
      <c r="B123" s="10" t="n">
        <f aca="false">IF(ISNUMBER(Raw_Data!B125),Raw_Data!B125,DATE(VALUE(RIGHT(Raw_Data!B125,4)),VALUE(MID(Raw_Data!B125,4,2)),VALUE(LEFT(Raw_Data!B125,2))))</f>
        <v>46255</v>
      </c>
      <c r="C123" s="9" t="str">
        <f aca="false">IFERROR(INDEX($T$10:$T$11,MATCH(PROPER(TRIM(Raw_Data!C125)),$S$10:$S$11,0)),PROPER(TRIM(Raw_Data!C125)))</f>
        <v>Whitefield</v>
      </c>
      <c r="D123" s="9" t="str">
        <f aca="false">PROPER(TRIM(Raw_Data!D125))</f>
        <v>Veg Puff</v>
      </c>
      <c r="E123" s="9" t="str">
        <f aca="false">IFERROR(INDEX($T$6:$T$7,MATCH(PROPER(TRIM(Raw_Data!E125)),$S$6:$S$7,0)),PROPER(TRIM(Raw_Data!E125)))</f>
        <v>Snacks</v>
      </c>
      <c r="F123" s="9" t="n">
        <f aca="false">IF(TRIM(Raw_Data!F125&amp;"")="",1,VALUE(Raw_Data!F125))</f>
        <v>2</v>
      </c>
      <c r="G123" s="13" t="n">
        <f aca="false">VALUE(Raw_Data!G125)</f>
        <v>80</v>
      </c>
      <c r="H123" s="13" t="n">
        <f aca="false">F123*G123</f>
        <v>160</v>
      </c>
      <c r="I123" s="13" t="n">
        <f aca="false">VALUE(Raw_Data!H125)</f>
        <v>79</v>
      </c>
      <c r="J123" s="13" t="n">
        <f aca="false">H123-I123</f>
        <v>81</v>
      </c>
      <c r="K123" s="14" t="n">
        <f aca="false">IFERROR(J123/H123,0)</f>
        <v>0.50625</v>
      </c>
      <c r="L123" s="9" t="str">
        <f aca="false">TEXT(B123,"MMM-YYYY")</f>
        <v>Aug-2026</v>
      </c>
      <c r="M123" s="9" t="n">
        <f aca="false">YEAR(B123)</f>
        <v>2026</v>
      </c>
      <c r="N123" s="9" t="str">
        <f aca="false">IF(TRIM(Raw_Data!I125&amp;"")="","Not Specified",TRIM(Raw_Data!I125))</f>
        <v>Card</v>
      </c>
      <c r="O123" s="9" t="str">
        <f aca="false">PROPER(TRIM(Raw_Data!J125))</f>
        <v>Completed</v>
      </c>
      <c r="P123" s="9" t="str">
        <f aca="false">IF(O123="Completed","Completed","Not Completed")</f>
        <v>Completed</v>
      </c>
    </row>
    <row r="124" customFormat="false" ht="15" hidden="false" customHeight="false" outlineLevel="0" collapsed="false">
      <c r="A124" s="9" t="str">
        <f aca="false">Raw_Data!A126</f>
        <v>ORD1147</v>
      </c>
      <c r="B124" s="10" t="n">
        <f aca="false">IF(ISNUMBER(Raw_Data!B126),Raw_Data!B126,DATE(VALUE(RIGHT(Raw_Data!B126,4)),VALUE(MID(Raw_Data!B126,4,2)),VALUE(LEFT(Raw_Data!B126,2))))</f>
        <v>46179</v>
      </c>
      <c r="C124" s="9" t="str">
        <f aca="false">IFERROR(INDEX($T$10:$T$11,MATCH(PROPER(TRIM(Raw_Data!C126)),$S$10:$S$11,0)),PROPER(TRIM(Raw_Data!C126)))</f>
        <v>HSR Layout</v>
      </c>
      <c r="D124" s="9" t="str">
        <f aca="false">PROPER(TRIM(Raw_Data!D126))</f>
        <v>Nachos</v>
      </c>
      <c r="E124" s="9" t="str">
        <f aca="false">IFERROR(INDEX($T$6:$T$7,MATCH(PROPER(TRIM(Raw_Data!E126)),$S$6:$S$7,0)),PROPER(TRIM(Raw_Data!E126)))</f>
        <v>Snacks</v>
      </c>
      <c r="F124" s="9" t="n">
        <f aca="false">IF(TRIM(Raw_Data!F126&amp;"")="",1,VALUE(Raw_Data!F126))</f>
        <v>1</v>
      </c>
      <c r="G124" s="13" t="n">
        <f aca="false">VALUE(Raw_Data!G126)</f>
        <v>170</v>
      </c>
      <c r="H124" s="13" t="n">
        <f aca="false">F124*G124</f>
        <v>170</v>
      </c>
      <c r="I124" s="13" t="n">
        <f aca="false">VALUE(Raw_Data!H126)</f>
        <v>79</v>
      </c>
      <c r="J124" s="13" t="n">
        <f aca="false">H124-I124</f>
        <v>91</v>
      </c>
      <c r="K124" s="14" t="n">
        <f aca="false">IFERROR(J124/H124,0)</f>
        <v>0.535294117647059</v>
      </c>
      <c r="L124" s="9" t="str">
        <f aca="false">TEXT(B124,"MMM-YYYY")</f>
        <v>Jun-2026</v>
      </c>
      <c r="M124" s="9" t="n">
        <f aca="false">YEAR(B124)</f>
        <v>2026</v>
      </c>
      <c r="N124" s="9" t="str">
        <f aca="false">IF(TRIM(Raw_Data!I126&amp;"")="","Not Specified",TRIM(Raw_Data!I126))</f>
        <v>UPI</v>
      </c>
      <c r="O124" s="9" t="str">
        <f aca="false">PROPER(TRIM(Raw_Data!J126))</f>
        <v>Cancelled</v>
      </c>
      <c r="P124" s="9" t="str">
        <f aca="false">IF(O124="Completed","Completed","Not Completed")</f>
        <v>Not Completed</v>
      </c>
    </row>
    <row r="125" customFormat="false" ht="15" hidden="false" customHeight="false" outlineLevel="0" collapsed="false">
      <c r="A125" s="9" t="str">
        <f aca="false">Raw_Data!A127</f>
        <v>ORD1028</v>
      </c>
      <c r="B125" s="10" t="n">
        <f aca="false">IF(ISNUMBER(Raw_Data!B127),Raw_Data!B127,DATE(VALUE(RIGHT(Raw_Data!B127,4)),VALUE(MID(Raw_Data!B127,4,2)),VALUE(LEFT(Raw_Data!B127,2))))</f>
        <v>46240</v>
      </c>
      <c r="C125" s="9" t="str">
        <f aca="false">IFERROR(INDEX($T$10:$T$11,MATCH(PROPER(TRIM(Raw_Data!C127)),$S$10:$S$11,0)),PROPER(TRIM(Raw_Data!C127)))</f>
        <v>HSR Layout</v>
      </c>
      <c r="D125" s="9" t="str">
        <f aca="false">PROPER(TRIM(Raw_Data!D127))</f>
        <v>Brownie</v>
      </c>
      <c r="E125" s="9" t="str">
        <f aca="false">IFERROR(INDEX($T$6:$T$7,MATCH(PROPER(TRIM(Raw_Data!E127)),$S$6:$S$7,0)),PROPER(TRIM(Raw_Data!E127)))</f>
        <v>Bakery</v>
      </c>
      <c r="F125" s="9" t="n">
        <f aca="false">IF(TRIM(Raw_Data!F127&amp;"")="",1,VALUE(Raw_Data!F127))</f>
        <v>2</v>
      </c>
      <c r="G125" s="13" t="n">
        <f aca="false">VALUE(Raw_Data!G127)</f>
        <v>150</v>
      </c>
      <c r="H125" s="13" t="n">
        <f aca="false">F125*G125</f>
        <v>300</v>
      </c>
      <c r="I125" s="13" t="n">
        <f aca="false">VALUE(Raw_Data!H127)</f>
        <v>156</v>
      </c>
      <c r="J125" s="13" t="n">
        <f aca="false">H125-I125</f>
        <v>144</v>
      </c>
      <c r="K125" s="14" t="n">
        <f aca="false">IFERROR(J125/H125,0)</f>
        <v>0.48</v>
      </c>
      <c r="L125" s="9" t="str">
        <f aca="false">TEXT(B125,"MMM-YYYY")</f>
        <v>Aug-2026</v>
      </c>
      <c r="M125" s="9" t="n">
        <f aca="false">YEAR(B125)</f>
        <v>2026</v>
      </c>
      <c r="N125" s="9" t="str">
        <f aca="false">IF(TRIM(Raw_Data!I127&amp;"")="","Not Specified",TRIM(Raw_Data!I127))</f>
        <v>Cash</v>
      </c>
      <c r="O125" s="9" t="str">
        <f aca="false">PROPER(TRIM(Raw_Data!J127))</f>
        <v>Completed</v>
      </c>
      <c r="P125" s="9" t="str">
        <f aca="false">IF(O125="Completed","Completed","Not Completed")</f>
        <v>Completed</v>
      </c>
    </row>
    <row r="126" customFormat="false" ht="15" hidden="false" customHeight="false" outlineLevel="0" collapsed="false">
      <c r="A126" s="9" t="str">
        <f aca="false">Raw_Data!A128</f>
        <v>ORD1126</v>
      </c>
      <c r="B126" s="10" t="n">
        <f aca="false">IF(ISNUMBER(Raw_Data!B128),Raw_Data!B128,DATE(VALUE(RIGHT(Raw_Data!B128,4)),VALUE(MID(Raw_Data!B128,4,2)),VALUE(LEFT(Raw_Data!B128,2))))</f>
        <v>46184</v>
      </c>
      <c r="C126" s="9" t="str">
        <f aca="false">IFERROR(INDEX($T$10:$T$11,MATCH(PROPER(TRIM(Raw_Data!C128)),$S$10:$S$11,0)),PROPER(TRIM(Raw_Data!C128)))</f>
        <v>Indiranagar</v>
      </c>
      <c r="D126" s="9" t="str">
        <f aca="false">PROPER(TRIM(Raw_Data!D128))</f>
        <v>Filter Coffee</v>
      </c>
      <c r="E126" s="9" t="str">
        <f aca="false">IFERROR(INDEX($T$6:$T$7,MATCH(PROPER(TRIM(Raw_Data!E128)),$S$6:$S$7,0)),PROPER(TRIM(Raw_Data!E128)))</f>
        <v>Hot Beverages</v>
      </c>
      <c r="F126" s="9" t="n">
        <f aca="false">IF(TRIM(Raw_Data!F128&amp;"")="",1,VALUE(Raw_Data!F128))</f>
        <v>1</v>
      </c>
      <c r="G126" s="13" t="n">
        <f aca="false">VALUE(Raw_Data!G128)</f>
        <v>120</v>
      </c>
      <c r="H126" s="13" t="n">
        <f aca="false">F126*G126</f>
        <v>120</v>
      </c>
      <c r="I126" s="13" t="n">
        <f aca="false">VALUE(Raw_Data!H128)</f>
        <v>54</v>
      </c>
      <c r="J126" s="13" t="n">
        <f aca="false">H126-I126</f>
        <v>66</v>
      </c>
      <c r="K126" s="14" t="n">
        <f aca="false">IFERROR(J126/H126,0)</f>
        <v>0.55</v>
      </c>
      <c r="L126" s="9" t="str">
        <f aca="false">TEXT(B126,"MMM-YYYY")</f>
        <v>Jun-2026</v>
      </c>
      <c r="M126" s="9" t="n">
        <f aca="false">YEAR(B126)</f>
        <v>2026</v>
      </c>
      <c r="N126" s="9" t="str">
        <f aca="false">IF(TRIM(Raw_Data!I128&amp;"")="","Not Specified",TRIM(Raw_Data!I128))</f>
        <v>Card</v>
      </c>
      <c r="O126" s="9" t="str">
        <f aca="false">PROPER(TRIM(Raw_Data!J128))</f>
        <v>Completed</v>
      </c>
      <c r="P126" s="9" t="str">
        <f aca="false">IF(O126="Completed","Completed","Not Completed")</f>
        <v>Completed</v>
      </c>
    </row>
    <row r="127" customFormat="false" ht="15" hidden="false" customHeight="false" outlineLevel="0" collapsed="false">
      <c r="A127" s="9" t="str">
        <f aca="false">Raw_Data!A129</f>
        <v>ORD1052</v>
      </c>
      <c r="B127" s="10" t="n">
        <f aca="false">IF(ISNUMBER(Raw_Data!B129),Raw_Data!B129,DATE(VALUE(RIGHT(Raw_Data!B129,4)),VALUE(MID(Raw_Data!B129,4,2)),VALUE(LEFT(Raw_Data!B129,2))))</f>
        <v>46225</v>
      </c>
      <c r="C127" s="9" t="str">
        <f aca="false">IFERROR(INDEX($T$10:$T$11,MATCH(PROPER(TRIM(Raw_Data!C129)),$S$10:$S$11,0)),PROPER(TRIM(Raw_Data!C129)))</f>
        <v>Indiranagar</v>
      </c>
      <c r="D127" s="9" t="str">
        <f aca="false">PROPER(TRIM(Raw_Data!D129))</f>
        <v>Nachos</v>
      </c>
      <c r="E127" s="9" t="str">
        <f aca="false">IFERROR(INDEX($T$6:$T$7,MATCH(PROPER(TRIM(Raw_Data!E129)),$S$6:$S$7,0)),PROPER(TRIM(Raw_Data!E129)))</f>
        <v>Snacks</v>
      </c>
      <c r="F127" s="9" t="n">
        <f aca="false">IF(TRIM(Raw_Data!F129&amp;"")="",1,VALUE(Raw_Data!F129))</f>
        <v>2</v>
      </c>
      <c r="G127" s="13" t="n">
        <f aca="false">VALUE(Raw_Data!G129)</f>
        <v>170</v>
      </c>
      <c r="H127" s="13" t="n">
        <f aca="false">F127*G127</f>
        <v>340</v>
      </c>
      <c r="I127" s="13" t="n">
        <f aca="false">VALUE(Raw_Data!H129)</f>
        <v>174</v>
      </c>
      <c r="J127" s="13" t="n">
        <f aca="false">H127-I127</f>
        <v>166</v>
      </c>
      <c r="K127" s="14" t="n">
        <f aca="false">IFERROR(J127/H127,0)</f>
        <v>0.488235294117647</v>
      </c>
      <c r="L127" s="9" t="str">
        <f aca="false">TEXT(B127,"MMM-YYYY")</f>
        <v>Jul-2026</v>
      </c>
      <c r="M127" s="9" t="n">
        <f aca="false">YEAR(B127)</f>
        <v>2026</v>
      </c>
      <c r="N127" s="9" t="str">
        <f aca="false">IF(TRIM(Raw_Data!I129&amp;"")="","Not Specified",TRIM(Raw_Data!I129))</f>
        <v>UPI</v>
      </c>
      <c r="O127" s="9" t="str">
        <f aca="false">PROPER(TRIM(Raw_Data!J129))</f>
        <v>Completed</v>
      </c>
      <c r="P127" s="9" t="str">
        <f aca="false">IF(O127="Completed","Completed","Not Completed")</f>
        <v>Completed</v>
      </c>
    </row>
    <row r="128" customFormat="false" ht="15" hidden="false" customHeight="false" outlineLevel="0" collapsed="false">
      <c r="A128" s="9" t="str">
        <f aca="false">Raw_Data!A130</f>
        <v>ORD1002</v>
      </c>
      <c r="B128" s="10" t="n">
        <f aca="false">IF(ISNUMBER(Raw_Data!B130),Raw_Data!B130,DATE(VALUE(RIGHT(Raw_Data!B130,4)),VALUE(MID(Raw_Data!B130,4,2)),VALUE(LEFT(Raw_Data!B130,2))))</f>
        <v>46181</v>
      </c>
      <c r="C128" s="9" t="str">
        <f aca="false">IFERROR(INDEX($T$10:$T$11,MATCH(PROPER(TRIM(Raw_Data!C130)),$S$10:$S$11,0)),PROPER(TRIM(Raw_Data!C130)))</f>
        <v>Indiranagar</v>
      </c>
      <c r="D128" s="9" t="str">
        <f aca="false">PROPER(TRIM(Raw_Data!D130))</f>
        <v>Latte</v>
      </c>
      <c r="E128" s="9" t="str">
        <f aca="false">IFERROR(INDEX($T$6:$T$7,MATCH(PROPER(TRIM(Raw_Data!E130)),$S$6:$S$7,0)),PROPER(TRIM(Raw_Data!E130)))</f>
        <v>Hot Beverages</v>
      </c>
      <c r="F128" s="9" t="n">
        <f aca="false">IF(TRIM(Raw_Data!F130&amp;"")="",1,VALUE(Raw_Data!F130))</f>
        <v>1</v>
      </c>
      <c r="G128" s="13" t="n">
        <f aca="false">VALUE(Raw_Data!G130)</f>
        <v>190</v>
      </c>
      <c r="H128" s="13" t="n">
        <f aca="false">F128*G128</f>
        <v>190</v>
      </c>
      <c r="I128" s="13" t="n">
        <f aca="false">VALUE(Raw_Data!H130)</f>
        <v>74</v>
      </c>
      <c r="J128" s="13" t="n">
        <f aca="false">H128-I128</f>
        <v>116</v>
      </c>
      <c r="K128" s="14" t="n">
        <f aca="false">IFERROR(J128/H128,0)</f>
        <v>0.610526315789474</v>
      </c>
      <c r="L128" s="9" t="str">
        <f aca="false">TEXT(B128,"MMM-YYYY")</f>
        <v>Jun-2026</v>
      </c>
      <c r="M128" s="9" t="n">
        <f aca="false">YEAR(B128)</f>
        <v>2026</v>
      </c>
      <c r="N128" s="9" t="str">
        <f aca="false">IF(TRIM(Raw_Data!I130&amp;"")="","Not Specified",TRIM(Raw_Data!I130))</f>
        <v>UPI</v>
      </c>
      <c r="O128" s="9" t="str">
        <f aca="false">PROPER(TRIM(Raw_Data!J130))</f>
        <v>Completed</v>
      </c>
      <c r="P128" s="9" t="str">
        <f aca="false">IF(O128="Completed","Completed","Not Completed")</f>
        <v>Completed</v>
      </c>
    </row>
    <row r="129" customFormat="false" ht="15" hidden="false" customHeight="false" outlineLevel="0" collapsed="false">
      <c r="A129" s="9" t="str">
        <f aca="false">Raw_Data!A131</f>
        <v>ORD1100</v>
      </c>
      <c r="B129" s="10" t="n">
        <f aca="false">IF(ISNUMBER(Raw_Data!B131),Raw_Data!B131,DATE(VALUE(RIGHT(Raw_Data!B131,4)),VALUE(MID(Raw_Data!B131,4,2)),VALUE(LEFT(Raw_Data!B131,2))))</f>
        <v>46233</v>
      </c>
      <c r="C129" s="9" t="str">
        <f aca="false">IFERROR(INDEX($T$10:$T$11,MATCH(PROPER(TRIM(Raw_Data!C131)),$S$10:$S$11,0)),PROPER(TRIM(Raw_Data!C131)))</f>
        <v>HSR Layout</v>
      </c>
      <c r="D129" s="9" t="str">
        <f aca="false">PROPER(TRIM(Raw_Data!D131))</f>
        <v>Frappe</v>
      </c>
      <c r="E129" s="9" t="str">
        <f aca="false">IFERROR(INDEX($T$6:$T$7,MATCH(PROPER(TRIM(Raw_Data!E131)),$S$6:$S$7,0)),PROPER(TRIM(Raw_Data!E131)))</f>
        <v>Cold Beverages</v>
      </c>
      <c r="F129" s="9" t="n">
        <f aca="false">IF(TRIM(Raw_Data!F131&amp;"")="",1,VALUE(Raw_Data!F131))</f>
        <v>3</v>
      </c>
      <c r="G129" s="13" t="n">
        <f aca="false">VALUE(Raw_Data!G131)</f>
        <v>240</v>
      </c>
      <c r="H129" s="13" t="n">
        <f aca="false">F129*G129</f>
        <v>720</v>
      </c>
      <c r="I129" s="13" t="n">
        <f aca="false">VALUE(Raw_Data!H131)</f>
        <v>290</v>
      </c>
      <c r="J129" s="13" t="n">
        <f aca="false">H129-I129</f>
        <v>430</v>
      </c>
      <c r="K129" s="14" t="n">
        <f aca="false">IFERROR(J129/H129,0)</f>
        <v>0.597222222222222</v>
      </c>
      <c r="L129" s="9" t="str">
        <f aca="false">TEXT(B129,"MMM-YYYY")</f>
        <v>Jul-2026</v>
      </c>
      <c r="M129" s="9" t="n">
        <f aca="false">YEAR(B129)</f>
        <v>2026</v>
      </c>
      <c r="N129" s="9" t="str">
        <f aca="false">IF(TRIM(Raw_Data!I131&amp;"")="","Not Specified",TRIM(Raw_Data!I131))</f>
        <v>UPI</v>
      </c>
      <c r="O129" s="9" t="str">
        <f aca="false">PROPER(TRIM(Raw_Data!J131))</f>
        <v>Cancelled</v>
      </c>
      <c r="P129" s="9" t="str">
        <f aca="false">IF(O129="Completed","Completed","Not Completed")</f>
        <v>Not Completed</v>
      </c>
    </row>
    <row r="130" customFormat="false" ht="15" hidden="false" customHeight="false" outlineLevel="0" collapsed="false">
      <c r="A130" s="9" t="str">
        <f aca="false">Raw_Data!A132</f>
        <v>ORD1017</v>
      </c>
      <c r="B130" s="10" t="n">
        <f aca="false">IF(ISNUMBER(Raw_Data!B132),Raw_Data!B132,DATE(VALUE(RIGHT(Raw_Data!B132,4)),VALUE(MID(Raw_Data!B132,4,2)),VALUE(LEFT(Raw_Data!B132,2))))</f>
        <v>46207</v>
      </c>
      <c r="C130" s="9" t="str">
        <f aca="false">IFERROR(INDEX($T$10:$T$11,MATCH(PROPER(TRIM(Raw_Data!C132)),$S$10:$S$11,0)),PROPER(TRIM(Raw_Data!C132)))</f>
        <v>Whitefield</v>
      </c>
      <c r="D130" s="9" t="str">
        <f aca="false">PROPER(TRIM(Raw_Data!D132))</f>
        <v>Cappuccino</v>
      </c>
      <c r="E130" s="9" t="str">
        <f aca="false">IFERROR(INDEX($T$6:$T$7,MATCH(PROPER(TRIM(Raw_Data!E132)),$S$6:$S$7,0)),PROPER(TRIM(Raw_Data!E132)))</f>
        <v>Hot Beverages</v>
      </c>
      <c r="F130" s="9" t="n">
        <f aca="false">IF(TRIM(Raw_Data!F132&amp;"")="",1,VALUE(Raw_Data!F132))</f>
        <v>1</v>
      </c>
      <c r="G130" s="13" t="n">
        <f aca="false">VALUE(Raw_Data!G132)</f>
        <v>180</v>
      </c>
      <c r="H130" s="13" t="n">
        <f aca="false">F130*G130</f>
        <v>180</v>
      </c>
      <c r="I130" s="13" t="n">
        <f aca="false">VALUE(Raw_Data!H132)</f>
        <v>73</v>
      </c>
      <c r="J130" s="13" t="n">
        <f aca="false">H130-I130</f>
        <v>107</v>
      </c>
      <c r="K130" s="14" t="n">
        <f aca="false">IFERROR(J130/H130,0)</f>
        <v>0.594444444444444</v>
      </c>
      <c r="L130" s="9" t="str">
        <f aca="false">TEXT(B130,"MMM-YYYY")</f>
        <v>Jul-2026</v>
      </c>
      <c r="M130" s="9" t="n">
        <f aca="false">YEAR(B130)</f>
        <v>2026</v>
      </c>
      <c r="N130" s="9" t="str">
        <f aca="false">IF(TRIM(Raw_Data!I132&amp;"")="","Not Specified",TRIM(Raw_Data!I132))</f>
        <v>Cash</v>
      </c>
      <c r="O130" s="9" t="str">
        <f aca="false">PROPER(TRIM(Raw_Data!J132))</f>
        <v>Completed</v>
      </c>
      <c r="P130" s="9" t="str">
        <f aca="false">IF(O130="Completed","Completed","Not Completed")</f>
        <v>Completed</v>
      </c>
    </row>
    <row r="131" customFormat="false" ht="15" hidden="false" customHeight="false" outlineLevel="0" collapsed="false">
      <c r="A131" s="9" t="str">
        <f aca="false">Raw_Data!A133</f>
        <v>ORD1114</v>
      </c>
      <c r="B131" s="10" t="n">
        <f aca="false">IF(ISNUMBER(Raw_Data!B133),Raw_Data!B133,DATE(VALUE(RIGHT(Raw_Data!B133,4)),VALUE(MID(Raw_Data!B133,4,2)),VALUE(LEFT(Raw_Data!B133,2))))</f>
        <v>46213</v>
      </c>
      <c r="C131" s="9" t="str">
        <f aca="false">IFERROR(INDEX($T$10:$T$11,MATCH(PROPER(TRIM(Raw_Data!C133)),$S$10:$S$11,0)),PROPER(TRIM(Raw_Data!C133)))</f>
        <v>HSR Layout</v>
      </c>
      <c r="D131" s="9" t="str">
        <f aca="false">PROPER(TRIM(Raw_Data!D133))</f>
        <v>Brownie</v>
      </c>
      <c r="E131" s="9" t="str">
        <f aca="false">IFERROR(INDEX($T$6:$T$7,MATCH(PROPER(TRIM(Raw_Data!E133)),$S$6:$S$7,0)),PROPER(TRIM(Raw_Data!E133)))</f>
        <v>Bakery</v>
      </c>
      <c r="F131" s="9" t="n">
        <f aca="false">IF(TRIM(Raw_Data!F133&amp;"")="",1,VALUE(Raw_Data!F133))</f>
        <v>4</v>
      </c>
      <c r="G131" s="13" t="n">
        <f aca="false">VALUE(Raw_Data!G133)</f>
        <v>150</v>
      </c>
      <c r="H131" s="13" t="n">
        <f aca="false">F131*G131</f>
        <v>600</v>
      </c>
      <c r="I131" s="13" t="n">
        <f aca="false">VALUE(Raw_Data!H133)</f>
        <v>272</v>
      </c>
      <c r="J131" s="13" t="n">
        <f aca="false">H131-I131</f>
        <v>328</v>
      </c>
      <c r="K131" s="14" t="n">
        <f aca="false">IFERROR(J131/H131,0)</f>
        <v>0.546666666666667</v>
      </c>
      <c r="L131" s="9" t="str">
        <f aca="false">TEXT(B131,"MMM-YYYY")</f>
        <v>Jul-2026</v>
      </c>
      <c r="M131" s="9" t="n">
        <f aca="false">YEAR(B131)</f>
        <v>2026</v>
      </c>
      <c r="N131" s="9" t="str">
        <f aca="false">IF(TRIM(Raw_Data!I133&amp;"")="","Not Specified",TRIM(Raw_Data!I133))</f>
        <v>UPI</v>
      </c>
      <c r="O131" s="9" t="str">
        <f aca="false">PROPER(TRIM(Raw_Data!J133))</f>
        <v>Completed</v>
      </c>
      <c r="P131" s="9" t="str">
        <f aca="false">IF(O131="Completed","Completed","Not Completed")</f>
        <v>Completed</v>
      </c>
    </row>
    <row r="132" customFormat="false" ht="15" hidden="false" customHeight="false" outlineLevel="0" collapsed="false">
      <c r="A132" s="9" t="str">
        <f aca="false">Raw_Data!A134</f>
        <v>ORD1058</v>
      </c>
      <c r="B132" s="10" t="n">
        <f aca="false">IF(ISNUMBER(Raw_Data!B134),Raw_Data!B134,DATE(VALUE(RIGHT(Raw_Data!B134,4)),VALUE(MID(Raw_Data!B134,4,2)),VALUE(LEFT(Raw_Data!B134,2))))</f>
        <v>46206</v>
      </c>
      <c r="C132" s="9" t="str">
        <f aca="false">IFERROR(INDEX($T$10:$T$11,MATCH(PROPER(TRIM(Raw_Data!C134)),$S$10:$S$11,0)),PROPER(TRIM(Raw_Data!C134)))</f>
        <v>Koramangala</v>
      </c>
      <c r="D132" s="9" t="str">
        <f aca="false">PROPER(TRIM(Raw_Data!D134))</f>
        <v>Cappuccino</v>
      </c>
      <c r="E132" s="9" t="str">
        <f aca="false">IFERROR(INDEX($T$6:$T$7,MATCH(PROPER(TRIM(Raw_Data!E134)),$S$6:$S$7,0)),PROPER(TRIM(Raw_Data!E134)))</f>
        <v>Hot Beverages</v>
      </c>
      <c r="F132" s="9" t="n">
        <f aca="false">IF(TRIM(Raw_Data!F134&amp;"")="",1,VALUE(Raw_Data!F134))</f>
        <v>1</v>
      </c>
      <c r="G132" s="13" t="n">
        <f aca="false">VALUE(Raw_Data!G134)</f>
        <v>180</v>
      </c>
      <c r="H132" s="13" t="n">
        <f aca="false">F132*G132</f>
        <v>180</v>
      </c>
      <c r="I132" s="13" t="n">
        <f aca="false">VALUE(Raw_Data!H134)</f>
        <v>72</v>
      </c>
      <c r="J132" s="13" t="n">
        <f aca="false">H132-I132</f>
        <v>108</v>
      </c>
      <c r="K132" s="14" t="n">
        <f aca="false">IFERROR(J132/H132,0)</f>
        <v>0.6</v>
      </c>
      <c r="L132" s="9" t="str">
        <f aca="false">TEXT(B132,"MMM-YYYY")</f>
        <v>Jul-2026</v>
      </c>
      <c r="M132" s="9" t="n">
        <f aca="false">YEAR(B132)</f>
        <v>2026</v>
      </c>
      <c r="N132" s="9" t="str">
        <f aca="false">IF(TRIM(Raw_Data!I134&amp;"")="","Not Specified",TRIM(Raw_Data!I134))</f>
        <v>Card</v>
      </c>
      <c r="O132" s="9" t="str">
        <f aca="false">PROPER(TRIM(Raw_Data!J134))</f>
        <v>Completed</v>
      </c>
      <c r="P132" s="9" t="str">
        <f aca="false">IF(O132="Completed","Completed","Not Completed")</f>
        <v>Completed</v>
      </c>
    </row>
    <row r="133" customFormat="false" ht="15" hidden="false" customHeight="false" outlineLevel="0" collapsed="false">
      <c r="A133" s="9" t="str">
        <f aca="false">Raw_Data!A135</f>
        <v>ORD1161</v>
      </c>
      <c r="B133" s="10" t="n">
        <f aca="false">IF(ISNUMBER(Raw_Data!B135),Raw_Data!B135,DATE(VALUE(RIGHT(Raw_Data!B135,4)),VALUE(MID(Raw_Data!B135,4,2)),VALUE(LEFT(Raw_Data!B135,2))))</f>
        <v>46184</v>
      </c>
      <c r="C133" s="9" t="str">
        <f aca="false">IFERROR(INDEX($T$10:$T$11,MATCH(PROPER(TRIM(Raw_Data!C135)),$S$10:$S$11,0)),PROPER(TRIM(Raw_Data!C135)))</f>
        <v>HSR Layout</v>
      </c>
      <c r="D133" s="9" t="str">
        <f aca="false">PROPER(TRIM(Raw_Data!D135))</f>
        <v>Frappe</v>
      </c>
      <c r="E133" s="9" t="str">
        <f aca="false">IFERROR(INDEX($T$6:$T$7,MATCH(PROPER(TRIM(Raw_Data!E135)),$S$6:$S$7,0)),PROPER(TRIM(Raw_Data!E135)))</f>
        <v>Cold Beverages</v>
      </c>
      <c r="F133" s="9" t="n">
        <f aca="false">IF(TRIM(Raw_Data!F135&amp;"")="",1,VALUE(Raw_Data!F135))</f>
        <v>1</v>
      </c>
      <c r="G133" s="13" t="n">
        <f aca="false">VALUE(Raw_Data!G135)</f>
        <v>240</v>
      </c>
      <c r="H133" s="13" t="n">
        <f aca="false">F133*G133</f>
        <v>240</v>
      </c>
      <c r="I133" s="13" t="n">
        <f aca="false">VALUE(Raw_Data!H135)</f>
        <v>109</v>
      </c>
      <c r="J133" s="13" t="n">
        <f aca="false">H133-I133</f>
        <v>131</v>
      </c>
      <c r="K133" s="14" t="n">
        <f aca="false">IFERROR(J133/H133,0)</f>
        <v>0.545833333333333</v>
      </c>
      <c r="L133" s="9" t="str">
        <f aca="false">TEXT(B133,"MMM-YYYY")</f>
        <v>Jun-2026</v>
      </c>
      <c r="M133" s="9" t="n">
        <f aca="false">YEAR(B133)</f>
        <v>2026</v>
      </c>
      <c r="N133" s="9" t="str">
        <f aca="false">IF(TRIM(Raw_Data!I135&amp;"")="","Not Specified",TRIM(Raw_Data!I135))</f>
        <v>UPI</v>
      </c>
      <c r="O133" s="9" t="str">
        <f aca="false">PROPER(TRIM(Raw_Data!J135))</f>
        <v>Completed</v>
      </c>
      <c r="P133" s="9" t="str">
        <f aca="false">IF(O133="Completed","Completed","Not Completed")</f>
        <v>Completed</v>
      </c>
    </row>
    <row r="134" customFormat="false" ht="15" hidden="false" customHeight="false" outlineLevel="0" collapsed="false">
      <c r="A134" s="9" t="str">
        <f aca="false">Raw_Data!A136</f>
        <v>ORD1178</v>
      </c>
      <c r="B134" s="10" t="n">
        <f aca="false">IF(ISNUMBER(Raw_Data!B136),Raw_Data!B136,DATE(VALUE(RIGHT(Raw_Data!B136,4)),VALUE(MID(Raw_Data!B136,4,2)),VALUE(LEFT(Raw_Data!B136,2))))</f>
        <v>46262</v>
      </c>
      <c r="C134" s="9" t="str">
        <f aca="false">IFERROR(INDEX($T$10:$T$11,MATCH(PROPER(TRIM(Raw_Data!C136)),$S$10:$S$11,0)),PROPER(TRIM(Raw_Data!C136)))</f>
        <v>HSR Layout</v>
      </c>
      <c r="D134" s="9" t="str">
        <f aca="false">PROPER(TRIM(Raw_Data!D136))</f>
        <v>Garlic Bread</v>
      </c>
      <c r="E134" s="9" t="str">
        <f aca="false">IFERROR(INDEX($T$6:$T$7,MATCH(PROPER(TRIM(Raw_Data!E136)),$S$6:$S$7,0)),PROPER(TRIM(Raw_Data!E136)))</f>
        <v>Snacks</v>
      </c>
      <c r="F134" s="9" t="n">
        <f aca="false">IF(TRIM(Raw_Data!F136&amp;"")="",1,VALUE(Raw_Data!F136))</f>
        <v>3</v>
      </c>
      <c r="G134" s="13" t="n">
        <f aca="false">VALUE(Raw_Data!G136)</f>
        <v>150</v>
      </c>
      <c r="H134" s="13" t="n">
        <f aca="false">F134*G134</f>
        <v>450</v>
      </c>
      <c r="I134" s="13" t="n">
        <f aca="false">VALUE(Raw_Data!H136)</f>
        <v>230</v>
      </c>
      <c r="J134" s="13" t="n">
        <f aca="false">H134-I134</f>
        <v>220</v>
      </c>
      <c r="K134" s="14" t="n">
        <f aca="false">IFERROR(J134/H134,0)</f>
        <v>0.488888888888889</v>
      </c>
      <c r="L134" s="9" t="str">
        <f aca="false">TEXT(B134,"MMM-YYYY")</f>
        <v>Aug-2026</v>
      </c>
      <c r="M134" s="9" t="n">
        <f aca="false">YEAR(B134)</f>
        <v>2026</v>
      </c>
      <c r="N134" s="9" t="str">
        <f aca="false">IF(TRIM(Raw_Data!I136&amp;"")="","Not Specified",TRIM(Raw_Data!I136))</f>
        <v>Card</v>
      </c>
      <c r="O134" s="9" t="str">
        <f aca="false">PROPER(TRIM(Raw_Data!J136))</f>
        <v>Completed</v>
      </c>
      <c r="P134" s="9" t="str">
        <f aca="false">IF(O134="Completed","Completed","Not Completed")</f>
        <v>Completed</v>
      </c>
    </row>
    <row r="135" customFormat="false" ht="15" hidden="false" customHeight="false" outlineLevel="0" collapsed="false">
      <c r="A135" s="9" t="str">
        <f aca="false">Raw_Data!A137</f>
        <v>ORD1158</v>
      </c>
      <c r="B135" s="10" t="n">
        <f aca="false">IF(ISNUMBER(Raw_Data!B137),Raw_Data!B137,DATE(VALUE(RIGHT(Raw_Data!B137,4)),VALUE(MID(Raw_Data!B137,4,2)),VALUE(LEFT(Raw_Data!B137,2))))</f>
        <v>46209</v>
      </c>
      <c r="C135" s="9" t="str">
        <f aca="false">IFERROR(INDEX($T$10:$T$11,MATCH(PROPER(TRIM(Raw_Data!C137)),$S$10:$S$11,0)),PROPER(TRIM(Raw_Data!C137)))</f>
        <v>Whitefield</v>
      </c>
      <c r="D135" s="9" t="str">
        <f aca="false">PROPER(TRIM(Raw_Data!D137))</f>
        <v>Danish Pastry</v>
      </c>
      <c r="E135" s="9" t="str">
        <f aca="false">IFERROR(INDEX($T$6:$T$7,MATCH(PROPER(TRIM(Raw_Data!E137)),$S$6:$S$7,0)),PROPER(TRIM(Raw_Data!E137)))</f>
        <v>Bakery</v>
      </c>
      <c r="F135" s="9" t="n">
        <f aca="false">IF(TRIM(Raw_Data!F137&amp;"")="",1,VALUE(Raw_Data!F137))</f>
        <v>1</v>
      </c>
      <c r="G135" s="13" t="n">
        <f aca="false">VALUE(Raw_Data!G137)</f>
        <v>160</v>
      </c>
      <c r="H135" s="13" t="n">
        <f aca="false">F135*G135</f>
        <v>160</v>
      </c>
      <c r="I135" s="13" t="n">
        <f aca="false">VALUE(Raw_Data!H137)</f>
        <v>79</v>
      </c>
      <c r="J135" s="13" t="n">
        <f aca="false">H135-I135</f>
        <v>81</v>
      </c>
      <c r="K135" s="14" t="n">
        <f aca="false">IFERROR(J135/H135,0)</f>
        <v>0.50625</v>
      </c>
      <c r="L135" s="9" t="str">
        <f aca="false">TEXT(B135,"MMM-YYYY")</f>
        <v>Jul-2026</v>
      </c>
      <c r="M135" s="9" t="n">
        <f aca="false">YEAR(B135)</f>
        <v>2026</v>
      </c>
      <c r="N135" s="9" t="str">
        <f aca="false">IF(TRIM(Raw_Data!I137&amp;"")="","Not Specified",TRIM(Raw_Data!I137))</f>
        <v>UPI</v>
      </c>
      <c r="O135" s="9" t="str">
        <f aca="false">PROPER(TRIM(Raw_Data!J137))</f>
        <v>Completed</v>
      </c>
      <c r="P135" s="9" t="str">
        <f aca="false">IF(O135="Completed","Completed","Not Completed")</f>
        <v>Completed</v>
      </c>
    </row>
    <row r="136" customFormat="false" ht="15" hidden="false" customHeight="false" outlineLevel="0" collapsed="false">
      <c r="A136" s="9" t="str">
        <f aca="false">Raw_Data!A138</f>
        <v>ORD1097</v>
      </c>
      <c r="B136" s="10" t="n">
        <f aca="false">IF(ISNUMBER(Raw_Data!B138),Raw_Data!B138,DATE(VALUE(RIGHT(Raw_Data!B138,4)),VALUE(MID(Raw_Data!B138,4,2)),VALUE(LEFT(Raw_Data!B138,2))))</f>
        <v>46261</v>
      </c>
      <c r="C136" s="9" t="str">
        <f aca="false">IFERROR(INDEX($T$10:$T$11,MATCH(PROPER(TRIM(Raw_Data!C138)),$S$10:$S$11,0)),PROPER(TRIM(Raw_Data!C138)))</f>
        <v>Indiranagar</v>
      </c>
      <c r="D136" s="9" t="str">
        <f aca="false">PROPER(TRIM(Raw_Data!D138))</f>
        <v>Espresso</v>
      </c>
      <c r="E136" s="9" t="str">
        <f aca="false">IFERROR(INDEX($T$6:$T$7,MATCH(PROPER(TRIM(Raw_Data!E138)),$S$6:$S$7,0)),PROPER(TRIM(Raw_Data!E138)))</f>
        <v>Hot Beverages</v>
      </c>
      <c r="F136" s="9" t="n">
        <f aca="false">IF(TRIM(Raw_Data!F138&amp;"")="",1,VALUE(Raw_Data!F138))</f>
        <v>1</v>
      </c>
      <c r="G136" s="13" t="n">
        <f aca="false">VALUE(Raw_Data!G138)</f>
        <v>150</v>
      </c>
      <c r="H136" s="13" t="n">
        <f aca="false">F136*G136</f>
        <v>150</v>
      </c>
      <c r="I136" s="13" t="n">
        <f aca="false">VALUE(Raw_Data!H138)</f>
        <v>56</v>
      </c>
      <c r="J136" s="13" t="n">
        <f aca="false">H136-I136</f>
        <v>94</v>
      </c>
      <c r="K136" s="14" t="n">
        <f aca="false">IFERROR(J136/H136,0)</f>
        <v>0.626666666666667</v>
      </c>
      <c r="L136" s="9" t="str">
        <f aca="false">TEXT(B136,"MMM-YYYY")</f>
        <v>Aug-2026</v>
      </c>
      <c r="M136" s="9" t="n">
        <f aca="false">YEAR(B136)</f>
        <v>2026</v>
      </c>
      <c r="N136" s="9" t="str">
        <f aca="false">IF(TRIM(Raw_Data!I138&amp;"")="","Not Specified",TRIM(Raw_Data!I138))</f>
        <v>UPI</v>
      </c>
      <c r="O136" s="9" t="str">
        <f aca="false">PROPER(TRIM(Raw_Data!J138))</f>
        <v>Completed</v>
      </c>
      <c r="P136" s="9" t="str">
        <f aca="false">IF(O136="Completed","Completed","Not Completed")</f>
        <v>Completed</v>
      </c>
    </row>
    <row r="137" customFormat="false" ht="15" hidden="false" customHeight="false" outlineLevel="0" collapsed="false">
      <c r="A137" s="9" t="str">
        <f aca="false">Raw_Data!A139</f>
        <v>ORD1040</v>
      </c>
      <c r="B137" s="10" t="n">
        <f aca="false">IF(ISNUMBER(Raw_Data!B139),Raw_Data!B139,DATE(VALUE(RIGHT(Raw_Data!B139,4)),VALUE(MID(Raw_Data!B139,4,2)),VALUE(LEFT(Raw_Data!B139,2))))</f>
        <v>46197</v>
      </c>
      <c r="C137" s="9" t="str">
        <f aca="false">IFERROR(INDEX($T$10:$T$11,MATCH(PROPER(TRIM(Raw_Data!C139)),$S$10:$S$11,0)),PROPER(TRIM(Raw_Data!C139)))</f>
        <v>Koramangala</v>
      </c>
      <c r="D137" s="9" t="str">
        <f aca="false">PROPER(TRIM(Raw_Data!D139))</f>
        <v>Hot Chocolate</v>
      </c>
      <c r="E137" s="9" t="str">
        <f aca="false">IFERROR(INDEX($T$6:$T$7,MATCH(PROPER(TRIM(Raw_Data!E139)),$S$6:$S$7,0)),PROPER(TRIM(Raw_Data!E139)))</f>
        <v>Hot Beverages</v>
      </c>
      <c r="F137" s="9" t="n">
        <f aca="false">IF(TRIM(Raw_Data!F139&amp;"")="",1,VALUE(Raw_Data!F139))</f>
        <v>1</v>
      </c>
      <c r="G137" s="13" t="n">
        <f aca="false">VALUE(Raw_Data!G139)</f>
        <v>170</v>
      </c>
      <c r="H137" s="13" t="n">
        <f aca="false">F137*G137</f>
        <v>170</v>
      </c>
      <c r="I137" s="13" t="n">
        <f aca="false">VALUE(Raw_Data!H139)</f>
        <v>68</v>
      </c>
      <c r="J137" s="13" t="n">
        <f aca="false">H137-I137</f>
        <v>102</v>
      </c>
      <c r="K137" s="14" t="n">
        <f aca="false">IFERROR(J137/H137,0)</f>
        <v>0.6</v>
      </c>
      <c r="L137" s="9" t="str">
        <f aca="false">TEXT(B137,"MMM-YYYY")</f>
        <v>Jun-2026</v>
      </c>
      <c r="M137" s="9" t="n">
        <f aca="false">YEAR(B137)</f>
        <v>2026</v>
      </c>
      <c r="N137" s="9" t="str">
        <f aca="false">IF(TRIM(Raw_Data!I139&amp;"")="","Not Specified",TRIM(Raw_Data!I139))</f>
        <v>Cash</v>
      </c>
      <c r="O137" s="9" t="str">
        <f aca="false">PROPER(TRIM(Raw_Data!J139))</f>
        <v>Completed</v>
      </c>
      <c r="P137" s="9" t="str">
        <f aca="false">IF(O137="Completed","Completed","Not Completed")</f>
        <v>Completed</v>
      </c>
    </row>
    <row r="138" customFormat="false" ht="15" hidden="false" customHeight="false" outlineLevel="0" collapsed="false">
      <c r="A138" s="9" t="str">
        <f aca="false">Raw_Data!A140</f>
        <v>ORD1179</v>
      </c>
      <c r="B138" s="10" t="n">
        <f aca="false">IF(ISNUMBER(Raw_Data!B140),Raw_Data!B140,DATE(VALUE(RIGHT(Raw_Data!B140,4)),VALUE(MID(Raw_Data!B140,4,2)),VALUE(LEFT(Raw_Data!B140,2))))</f>
        <v>46203</v>
      </c>
      <c r="C138" s="9" t="str">
        <f aca="false">IFERROR(INDEX($T$10:$T$11,MATCH(PROPER(TRIM(Raw_Data!C140)),$S$10:$S$11,0)),PROPER(TRIM(Raw_Data!C140)))</f>
        <v>Whitefield</v>
      </c>
      <c r="D138" s="9" t="str">
        <f aca="false">PROPER(TRIM(Raw_Data!D140))</f>
        <v>Iced Latte</v>
      </c>
      <c r="E138" s="9" t="str">
        <f aca="false">IFERROR(INDEX($T$6:$T$7,MATCH(PROPER(TRIM(Raw_Data!E140)),$S$6:$S$7,0)),PROPER(TRIM(Raw_Data!E140)))</f>
        <v>Cold Beverages</v>
      </c>
      <c r="F138" s="9" t="n">
        <f aca="false">IF(TRIM(Raw_Data!F140&amp;"")="",1,VALUE(Raw_Data!F140))</f>
        <v>1</v>
      </c>
      <c r="G138" s="13" t="n">
        <f aca="false">VALUE(Raw_Data!G140)</f>
        <v>200</v>
      </c>
      <c r="H138" s="13" t="n">
        <f aca="false">F138*G138</f>
        <v>200</v>
      </c>
      <c r="I138" s="13" t="n">
        <f aca="false">VALUE(Raw_Data!H140)</f>
        <v>88</v>
      </c>
      <c r="J138" s="13" t="n">
        <f aca="false">H138-I138</f>
        <v>112</v>
      </c>
      <c r="K138" s="14" t="n">
        <f aca="false">IFERROR(J138/H138,0)</f>
        <v>0.56</v>
      </c>
      <c r="L138" s="9" t="str">
        <f aca="false">TEXT(B138,"MMM-YYYY")</f>
        <v>Jun-2026</v>
      </c>
      <c r="M138" s="9" t="n">
        <f aca="false">YEAR(B138)</f>
        <v>2026</v>
      </c>
      <c r="N138" s="9" t="str">
        <f aca="false">IF(TRIM(Raw_Data!I140&amp;"")="","Not Specified",TRIM(Raw_Data!I140))</f>
        <v>Cash</v>
      </c>
      <c r="O138" s="9" t="str">
        <f aca="false">PROPER(TRIM(Raw_Data!J140))</f>
        <v>Completed</v>
      </c>
      <c r="P138" s="9" t="str">
        <f aca="false">IF(O138="Completed","Completed","Not Completed")</f>
        <v>Completed</v>
      </c>
    </row>
    <row r="139" customFormat="false" ht="15" hidden="false" customHeight="false" outlineLevel="0" collapsed="false">
      <c r="A139" s="9" t="str">
        <f aca="false">Raw_Data!A141</f>
        <v>ORD1175</v>
      </c>
      <c r="B139" s="10" t="n">
        <f aca="false">IF(ISNUMBER(Raw_Data!B141),Raw_Data!B141,DATE(VALUE(RIGHT(Raw_Data!B141,4)),VALUE(MID(Raw_Data!B141,4,2)),VALUE(LEFT(Raw_Data!B141,2))))</f>
        <v>46240</v>
      </c>
      <c r="C139" s="9" t="str">
        <f aca="false">IFERROR(INDEX($T$10:$T$11,MATCH(PROPER(TRIM(Raw_Data!C141)),$S$10:$S$11,0)),PROPER(TRIM(Raw_Data!C141)))</f>
        <v>Whitefield</v>
      </c>
      <c r="D139" s="9" t="str">
        <f aca="false">PROPER(TRIM(Raw_Data!D141))</f>
        <v>Croissant</v>
      </c>
      <c r="E139" s="9" t="str">
        <f aca="false">IFERROR(INDEX($T$6:$T$7,MATCH(PROPER(TRIM(Raw_Data!E141)),$S$6:$S$7,0)),PROPER(TRIM(Raw_Data!E141)))</f>
        <v>Bakery</v>
      </c>
      <c r="F139" s="9" t="n">
        <f aca="false">IF(TRIM(Raw_Data!F141&amp;"")="",1,VALUE(Raw_Data!F141))</f>
        <v>2</v>
      </c>
      <c r="G139" s="13" t="n">
        <f aca="false">VALUE(Raw_Data!G141)</f>
        <v>140</v>
      </c>
      <c r="H139" s="13" t="n">
        <f aca="false">F139*G139</f>
        <v>280</v>
      </c>
      <c r="I139" s="13" t="n">
        <f aca="false">VALUE(Raw_Data!H141)</f>
        <v>144</v>
      </c>
      <c r="J139" s="13" t="n">
        <f aca="false">H139-I139</f>
        <v>136</v>
      </c>
      <c r="K139" s="14" t="n">
        <f aca="false">IFERROR(J139/H139,0)</f>
        <v>0.485714285714286</v>
      </c>
      <c r="L139" s="9" t="str">
        <f aca="false">TEXT(B139,"MMM-YYYY")</f>
        <v>Aug-2026</v>
      </c>
      <c r="M139" s="9" t="n">
        <f aca="false">YEAR(B139)</f>
        <v>2026</v>
      </c>
      <c r="N139" s="9" t="str">
        <f aca="false">IF(TRIM(Raw_Data!I141&amp;"")="","Not Specified",TRIM(Raw_Data!I141))</f>
        <v>Not Specified</v>
      </c>
      <c r="O139" s="9" t="str">
        <f aca="false">PROPER(TRIM(Raw_Data!J141))</f>
        <v>Cancelled</v>
      </c>
      <c r="P139" s="9" t="str">
        <f aca="false">IF(O139="Completed","Completed","Not Completed")</f>
        <v>Not Completed</v>
      </c>
    </row>
    <row r="140" customFormat="false" ht="15" hidden="false" customHeight="false" outlineLevel="0" collapsed="false">
      <c r="A140" s="9" t="str">
        <f aca="false">Raw_Data!A142</f>
        <v>ORD1048</v>
      </c>
      <c r="B140" s="10" t="n">
        <f aca="false">IF(ISNUMBER(Raw_Data!B142),Raw_Data!B142,DATE(VALUE(RIGHT(Raw_Data!B142,4)),VALUE(MID(Raw_Data!B142,4,2)),VALUE(LEFT(Raw_Data!B142,2))))</f>
        <v>46239</v>
      </c>
      <c r="C140" s="9" t="str">
        <f aca="false">IFERROR(INDEX($T$10:$T$11,MATCH(PROPER(TRIM(Raw_Data!C142)),$S$10:$S$11,0)),PROPER(TRIM(Raw_Data!C142)))</f>
        <v>HSR Layout</v>
      </c>
      <c r="D140" s="9" t="str">
        <f aca="false">PROPER(TRIM(Raw_Data!D142))</f>
        <v>Muffin</v>
      </c>
      <c r="E140" s="9" t="str">
        <f aca="false">IFERROR(INDEX($T$6:$T$7,MATCH(PROPER(TRIM(Raw_Data!E142)),$S$6:$S$7,0)),PROPER(TRIM(Raw_Data!E142)))</f>
        <v>Bakery</v>
      </c>
      <c r="F140" s="9" t="n">
        <f aca="false">IF(TRIM(Raw_Data!F142&amp;"")="",1,VALUE(Raw_Data!F142))</f>
        <v>1</v>
      </c>
      <c r="G140" s="13" t="n">
        <f aca="false">VALUE(Raw_Data!G142)</f>
        <v>130</v>
      </c>
      <c r="H140" s="13" t="n">
        <f aca="false">F140*G140</f>
        <v>130</v>
      </c>
      <c r="I140" s="13" t="n">
        <f aca="false">VALUE(Raw_Data!H142)</f>
        <v>58</v>
      </c>
      <c r="J140" s="13" t="n">
        <f aca="false">H140-I140</f>
        <v>72</v>
      </c>
      <c r="K140" s="14" t="n">
        <f aca="false">IFERROR(J140/H140,0)</f>
        <v>0.553846153846154</v>
      </c>
      <c r="L140" s="9" t="str">
        <f aca="false">TEXT(B140,"MMM-YYYY")</f>
        <v>Aug-2026</v>
      </c>
      <c r="M140" s="9" t="n">
        <f aca="false">YEAR(B140)</f>
        <v>2026</v>
      </c>
      <c r="N140" s="9" t="str">
        <f aca="false">IF(TRIM(Raw_Data!I142&amp;"")="","Not Specified",TRIM(Raw_Data!I142))</f>
        <v>UPI</v>
      </c>
      <c r="O140" s="9" t="str">
        <f aca="false">PROPER(TRIM(Raw_Data!J142))</f>
        <v>Completed</v>
      </c>
      <c r="P140" s="9" t="str">
        <f aca="false">IF(O140="Completed","Completed","Not Completed")</f>
        <v>Completed</v>
      </c>
    </row>
    <row r="141" customFormat="false" ht="15" hidden="false" customHeight="false" outlineLevel="0" collapsed="false">
      <c r="A141" s="9" t="str">
        <f aca="false">Raw_Data!A143</f>
        <v>ORD1065</v>
      </c>
      <c r="B141" s="10" t="n">
        <f aca="false">IF(ISNUMBER(Raw_Data!B143),Raw_Data!B143,DATE(VALUE(RIGHT(Raw_Data!B143,4)),VALUE(MID(Raw_Data!B143,4,2)),VALUE(LEFT(Raw_Data!B143,2))))</f>
        <v>46213</v>
      </c>
      <c r="C141" s="9" t="str">
        <f aca="false">IFERROR(INDEX($T$10:$T$11,MATCH(PROPER(TRIM(Raw_Data!C143)),$S$10:$S$11,0)),PROPER(TRIM(Raw_Data!C143)))</f>
        <v>Indiranagar</v>
      </c>
      <c r="D141" s="9" t="str">
        <f aca="false">PROPER(TRIM(Raw_Data!D143))</f>
        <v>Brownie</v>
      </c>
      <c r="E141" s="9" t="str">
        <f aca="false">IFERROR(INDEX($T$6:$T$7,MATCH(PROPER(TRIM(Raw_Data!E143)),$S$6:$S$7,0)),PROPER(TRIM(Raw_Data!E143)))</f>
        <v>Bakery</v>
      </c>
      <c r="F141" s="9" t="n">
        <f aca="false">IF(TRIM(Raw_Data!F143&amp;"")="",1,VALUE(Raw_Data!F143))</f>
        <v>1</v>
      </c>
      <c r="G141" s="13" t="n">
        <f aca="false">VALUE(Raw_Data!G143)</f>
        <v>150</v>
      </c>
      <c r="H141" s="13" t="n">
        <f aca="false">F141*G141</f>
        <v>150</v>
      </c>
      <c r="I141" s="13" t="n">
        <f aca="false">VALUE(Raw_Data!H143)</f>
        <v>66</v>
      </c>
      <c r="J141" s="13" t="n">
        <f aca="false">H141-I141</f>
        <v>84</v>
      </c>
      <c r="K141" s="14" t="n">
        <f aca="false">IFERROR(J141/H141,0)</f>
        <v>0.56</v>
      </c>
      <c r="L141" s="9" t="str">
        <f aca="false">TEXT(B141,"MMM-YYYY")</f>
        <v>Jul-2026</v>
      </c>
      <c r="M141" s="9" t="n">
        <f aca="false">YEAR(B141)</f>
        <v>2026</v>
      </c>
      <c r="N141" s="9" t="str">
        <f aca="false">IF(TRIM(Raw_Data!I143&amp;"")="","Not Specified",TRIM(Raw_Data!I143))</f>
        <v>UPI</v>
      </c>
      <c r="O141" s="9" t="str">
        <f aca="false">PROPER(TRIM(Raw_Data!J143))</f>
        <v>Completed</v>
      </c>
      <c r="P141" s="9" t="str">
        <f aca="false">IF(O141="Completed","Completed","Not Completed")</f>
        <v>Completed</v>
      </c>
    </row>
    <row r="142" customFormat="false" ht="15" hidden="false" customHeight="false" outlineLevel="0" collapsed="false">
      <c r="A142" s="9" t="str">
        <f aca="false">Raw_Data!A144</f>
        <v>ORD1108</v>
      </c>
      <c r="B142" s="10" t="n">
        <f aca="false">IF(ISNUMBER(Raw_Data!B144),Raw_Data!B144,DATE(VALUE(RIGHT(Raw_Data!B144,4)),VALUE(MID(Raw_Data!B144,4,2)),VALUE(LEFT(Raw_Data!B144,2))))</f>
        <v>46261</v>
      </c>
      <c r="C142" s="9" t="str">
        <f aca="false">IFERROR(INDEX($T$10:$T$11,MATCH(PROPER(TRIM(Raw_Data!C144)),$S$10:$S$11,0)),PROPER(TRIM(Raw_Data!C144)))</f>
        <v>HSR Layout</v>
      </c>
      <c r="D142" s="9" t="str">
        <f aca="false">PROPER(TRIM(Raw_Data!D144))</f>
        <v>Iced Latte</v>
      </c>
      <c r="E142" s="9" t="str">
        <f aca="false">IFERROR(INDEX($T$6:$T$7,MATCH(PROPER(TRIM(Raw_Data!E144)),$S$6:$S$7,0)),PROPER(TRIM(Raw_Data!E144)))</f>
        <v>Cold Beverages</v>
      </c>
      <c r="F142" s="9" t="n">
        <f aca="false">IF(TRIM(Raw_Data!F144&amp;"")="",1,VALUE(Raw_Data!F144))</f>
        <v>1</v>
      </c>
      <c r="G142" s="13" t="n">
        <f aca="false">VALUE(Raw_Data!G144)</f>
        <v>200</v>
      </c>
      <c r="H142" s="13" t="n">
        <f aca="false">F142*G142</f>
        <v>200</v>
      </c>
      <c r="I142" s="13" t="n">
        <f aca="false">VALUE(Raw_Data!H144)</f>
        <v>82</v>
      </c>
      <c r="J142" s="13" t="n">
        <f aca="false">H142-I142</f>
        <v>118</v>
      </c>
      <c r="K142" s="14" t="n">
        <f aca="false">IFERROR(J142/H142,0)</f>
        <v>0.59</v>
      </c>
      <c r="L142" s="9" t="str">
        <f aca="false">TEXT(B142,"MMM-YYYY")</f>
        <v>Aug-2026</v>
      </c>
      <c r="M142" s="9" t="n">
        <f aca="false">YEAR(B142)</f>
        <v>2026</v>
      </c>
      <c r="N142" s="9" t="str">
        <f aca="false">IF(TRIM(Raw_Data!I144&amp;"")="","Not Specified",TRIM(Raw_Data!I144))</f>
        <v>Card</v>
      </c>
      <c r="O142" s="9" t="str">
        <f aca="false">PROPER(TRIM(Raw_Data!J144))</f>
        <v>Completed</v>
      </c>
      <c r="P142" s="9" t="str">
        <f aca="false">IF(O142="Completed","Completed","Not Completed")</f>
        <v>Completed</v>
      </c>
    </row>
    <row r="143" customFormat="false" ht="15" hidden="false" customHeight="false" outlineLevel="0" collapsed="false">
      <c r="A143" s="9" t="str">
        <f aca="false">Raw_Data!A145</f>
        <v>ORD1127</v>
      </c>
      <c r="B143" s="10" t="n">
        <f aca="false">IF(ISNUMBER(Raw_Data!B145),Raw_Data!B145,DATE(VALUE(RIGHT(Raw_Data!B145,4)),VALUE(MID(Raw_Data!B145,4,2)),VALUE(LEFT(Raw_Data!B145,2))))</f>
        <v>46191</v>
      </c>
      <c r="C143" s="9" t="str">
        <f aca="false">IFERROR(INDEX($T$10:$T$11,MATCH(PROPER(TRIM(Raw_Data!C145)),$S$10:$S$11,0)),PROPER(TRIM(Raw_Data!C145)))</f>
        <v>HSR Layout</v>
      </c>
      <c r="D143" s="9" t="str">
        <f aca="false">PROPER(TRIM(Raw_Data!D145))</f>
        <v>Veg Puff</v>
      </c>
      <c r="E143" s="9" t="str">
        <f aca="false">IFERROR(INDEX($T$6:$T$7,MATCH(PROPER(TRIM(Raw_Data!E145)),$S$6:$S$7,0)),PROPER(TRIM(Raw_Data!E145)))</f>
        <v>Snacks</v>
      </c>
      <c r="F143" s="9" t="n">
        <f aca="false">IF(TRIM(Raw_Data!F145&amp;"")="",1,VALUE(Raw_Data!F145))</f>
        <v>2</v>
      </c>
      <c r="G143" s="13" t="n">
        <f aca="false">VALUE(Raw_Data!G145)</f>
        <v>80</v>
      </c>
      <c r="H143" s="13" t="n">
        <f aca="false">F143*G143</f>
        <v>160</v>
      </c>
      <c r="I143" s="13" t="n">
        <f aca="false">VALUE(Raw_Data!H145)</f>
        <v>81</v>
      </c>
      <c r="J143" s="13" t="n">
        <f aca="false">H143-I143</f>
        <v>79</v>
      </c>
      <c r="K143" s="14" t="n">
        <f aca="false">IFERROR(J143/H143,0)</f>
        <v>0.49375</v>
      </c>
      <c r="L143" s="9" t="str">
        <f aca="false">TEXT(B143,"MMM-YYYY")</f>
        <v>Jun-2026</v>
      </c>
      <c r="M143" s="9" t="n">
        <f aca="false">YEAR(B143)</f>
        <v>2026</v>
      </c>
      <c r="N143" s="9" t="str">
        <f aca="false">IF(TRIM(Raw_Data!I145&amp;"")="","Not Specified",TRIM(Raw_Data!I145))</f>
        <v>Cash</v>
      </c>
      <c r="O143" s="9" t="str">
        <f aca="false">PROPER(TRIM(Raw_Data!J145))</f>
        <v>Completed</v>
      </c>
      <c r="P143" s="9" t="str">
        <f aca="false">IF(O143="Completed","Completed","Not Completed")</f>
        <v>Completed</v>
      </c>
    </row>
    <row r="144" customFormat="false" ht="15" hidden="false" customHeight="false" outlineLevel="0" collapsed="false">
      <c r="A144" s="9" t="str">
        <f aca="false">Raw_Data!A146</f>
        <v>ORD1026</v>
      </c>
      <c r="B144" s="10" t="n">
        <f aca="false">IF(ISNUMBER(Raw_Data!B146),Raw_Data!B146,DATE(VALUE(RIGHT(Raw_Data!B146,4)),VALUE(MID(Raw_Data!B146,4,2)),VALUE(LEFT(Raw_Data!B146,2))))</f>
        <v>46240</v>
      </c>
      <c r="C144" s="9" t="str">
        <f aca="false">IFERROR(INDEX($T$10:$T$11,MATCH(PROPER(TRIM(Raw_Data!C146)),$S$10:$S$11,0)),PROPER(TRIM(Raw_Data!C146)))</f>
        <v>Whitefield</v>
      </c>
      <c r="D144" s="9" t="str">
        <f aca="false">PROPER(TRIM(Raw_Data!D146))</f>
        <v>Cold Brew</v>
      </c>
      <c r="E144" s="9" t="str">
        <f aca="false">IFERROR(INDEX($T$6:$T$7,MATCH(PROPER(TRIM(Raw_Data!E146)),$S$6:$S$7,0)),PROPER(TRIM(Raw_Data!E146)))</f>
        <v>Cold Beverages</v>
      </c>
      <c r="F144" s="9" t="n">
        <f aca="false">IF(TRIM(Raw_Data!F146&amp;"")="",1,VALUE(Raw_Data!F146))</f>
        <v>1</v>
      </c>
      <c r="G144" s="13" t="n">
        <f aca="false">VALUE(Raw_Data!G146)</f>
        <v>220</v>
      </c>
      <c r="H144" s="13" t="n">
        <f aca="false">F144*G144</f>
        <v>220</v>
      </c>
      <c r="I144" s="13" t="n">
        <f aca="false">VALUE(Raw_Data!H146)</f>
        <v>89</v>
      </c>
      <c r="J144" s="13" t="n">
        <f aca="false">H144-I144</f>
        <v>131</v>
      </c>
      <c r="K144" s="14" t="n">
        <f aca="false">IFERROR(J144/H144,0)</f>
        <v>0.595454545454546</v>
      </c>
      <c r="L144" s="9" t="str">
        <f aca="false">TEXT(B144,"MMM-YYYY")</f>
        <v>Aug-2026</v>
      </c>
      <c r="M144" s="9" t="n">
        <f aca="false">YEAR(B144)</f>
        <v>2026</v>
      </c>
      <c r="N144" s="9" t="str">
        <f aca="false">IF(TRIM(Raw_Data!I146&amp;"")="","Not Specified",TRIM(Raw_Data!I146))</f>
        <v>UPI</v>
      </c>
      <c r="O144" s="9" t="str">
        <f aca="false">PROPER(TRIM(Raw_Data!J146))</f>
        <v>Completed</v>
      </c>
      <c r="P144" s="9" t="str">
        <f aca="false">IF(O144="Completed","Completed","Not Completed")</f>
        <v>Completed</v>
      </c>
    </row>
    <row r="145" customFormat="false" ht="15" hidden="false" customHeight="false" outlineLevel="0" collapsed="false">
      <c r="A145" s="9" t="str">
        <f aca="false">Raw_Data!A147</f>
        <v>ORD1025</v>
      </c>
      <c r="B145" s="10" t="n">
        <f aca="false">IF(ISNUMBER(Raw_Data!B147),Raw_Data!B147,DATE(VALUE(RIGHT(Raw_Data!B147,4)),VALUE(MID(Raw_Data!B147,4,2)),VALUE(LEFT(Raw_Data!B147,2))))</f>
        <v>46243</v>
      </c>
      <c r="C145" s="9" t="str">
        <f aca="false">IFERROR(INDEX($T$10:$T$11,MATCH(PROPER(TRIM(Raw_Data!C147)),$S$10:$S$11,0)),PROPER(TRIM(Raw_Data!C147)))</f>
        <v>Koramangala</v>
      </c>
      <c r="D145" s="9" t="str">
        <f aca="false">PROPER(TRIM(Raw_Data!D147))</f>
        <v>Nachos</v>
      </c>
      <c r="E145" s="9" t="str">
        <f aca="false">IFERROR(INDEX($T$6:$T$7,MATCH(PROPER(TRIM(Raw_Data!E147)),$S$6:$S$7,0)),PROPER(TRIM(Raw_Data!E147)))</f>
        <v>Snacks</v>
      </c>
      <c r="F145" s="9" t="n">
        <f aca="false">IF(TRIM(Raw_Data!F147&amp;"")="",1,VALUE(Raw_Data!F147))</f>
        <v>1</v>
      </c>
      <c r="G145" s="13" t="n">
        <f aca="false">VALUE(Raw_Data!G147)</f>
        <v>170</v>
      </c>
      <c r="H145" s="13" t="n">
        <f aca="false">F145*G145</f>
        <v>170</v>
      </c>
      <c r="I145" s="13" t="n">
        <f aca="false">VALUE(Raw_Data!H147)</f>
        <v>86</v>
      </c>
      <c r="J145" s="13" t="n">
        <f aca="false">H145-I145</f>
        <v>84</v>
      </c>
      <c r="K145" s="14" t="n">
        <f aca="false">IFERROR(J145/H145,0)</f>
        <v>0.494117647058824</v>
      </c>
      <c r="L145" s="9" t="str">
        <f aca="false">TEXT(B145,"MMM-YYYY")</f>
        <v>Aug-2026</v>
      </c>
      <c r="M145" s="9" t="n">
        <f aca="false">YEAR(B145)</f>
        <v>2026</v>
      </c>
      <c r="N145" s="9" t="str">
        <f aca="false">IF(TRIM(Raw_Data!I147&amp;"")="","Not Specified",TRIM(Raw_Data!I147))</f>
        <v>UPI</v>
      </c>
      <c r="O145" s="9" t="str">
        <f aca="false">PROPER(TRIM(Raw_Data!J147))</f>
        <v>Completed</v>
      </c>
      <c r="P145" s="9" t="str">
        <f aca="false">IF(O145="Completed","Completed","Not Completed")</f>
        <v>Completed</v>
      </c>
    </row>
    <row r="146" customFormat="false" ht="15" hidden="false" customHeight="false" outlineLevel="0" collapsed="false">
      <c r="A146" s="9" t="str">
        <f aca="false">Raw_Data!A148</f>
        <v>ORD1104</v>
      </c>
      <c r="B146" s="10" t="n">
        <f aca="false">IF(ISNUMBER(Raw_Data!B148),Raw_Data!B148,DATE(VALUE(RIGHT(Raw_Data!B148,4)),VALUE(MID(Raw_Data!B148,4,2)),VALUE(LEFT(Raw_Data!B148,2))))</f>
        <v>46250</v>
      </c>
      <c r="C146" s="9" t="str">
        <f aca="false">IFERROR(INDEX($T$10:$T$11,MATCH(PROPER(TRIM(Raw_Data!C148)),$S$10:$S$11,0)),PROPER(TRIM(Raw_Data!C148)))</f>
        <v>Koramangala</v>
      </c>
      <c r="D146" s="9" t="str">
        <f aca="false">PROPER(TRIM(Raw_Data!D148))</f>
        <v>Cappuccino</v>
      </c>
      <c r="E146" s="9" t="str">
        <f aca="false">IFERROR(INDEX($T$6:$T$7,MATCH(PROPER(TRIM(Raw_Data!E148)),$S$6:$S$7,0)),PROPER(TRIM(Raw_Data!E148)))</f>
        <v>Hot Beverages</v>
      </c>
      <c r="F146" s="9" t="n">
        <f aca="false">IF(TRIM(Raw_Data!F148&amp;"")="",1,VALUE(Raw_Data!F148))</f>
        <v>2</v>
      </c>
      <c r="G146" s="13" t="n">
        <f aca="false">VALUE(Raw_Data!G148)</f>
        <v>180</v>
      </c>
      <c r="H146" s="13" t="n">
        <f aca="false">F146*G146</f>
        <v>360</v>
      </c>
      <c r="I146" s="13" t="n">
        <f aca="false">VALUE(Raw_Data!H148)</f>
        <v>162</v>
      </c>
      <c r="J146" s="13" t="n">
        <f aca="false">H146-I146</f>
        <v>198</v>
      </c>
      <c r="K146" s="14" t="n">
        <f aca="false">IFERROR(J146/H146,0)</f>
        <v>0.55</v>
      </c>
      <c r="L146" s="9" t="str">
        <f aca="false">TEXT(B146,"MMM-YYYY")</f>
        <v>Aug-2026</v>
      </c>
      <c r="M146" s="9" t="n">
        <f aca="false">YEAR(B146)</f>
        <v>2026</v>
      </c>
      <c r="N146" s="9" t="str">
        <f aca="false">IF(TRIM(Raw_Data!I148&amp;"")="","Not Specified",TRIM(Raw_Data!I148))</f>
        <v>UPI</v>
      </c>
      <c r="O146" s="9" t="str">
        <f aca="false">PROPER(TRIM(Raw_Data!J148))</f>
        <v>Completed</v>
      </c>
      <c r="P146" s="9" t="str">
        <f aca="false">IF(O146="Completed","Completed","Not Completed")</f>
        <v>Completed</v>
      </c>
    </row>
    <row r="147" customFormat="false" ht="15" hidden="false" customHeight="false" outlineLevel="0" collapsed="false">
      <c r="A147" s="9" t="str">
        <f aca="false">Raw_Data!A149</f>
        <v>ORD1059</v>
      </c>
      <c r="B147" s="10" t="n">
        <f aca="false">IF(ISNUMBER(Raw_Data!B149),Raw_Data!B149,DATE(VALUE(RIGHT(Raw_Data!B149,4)),VALUE(MID(Raw_Data!B149,4,2)),VALUE(LEFT(Raw_Data!B149,2))))</f>
        <v>46205</v>
      </c>
      <c r="C147" s="9" t="str">
        <f aca="false">IFERROR(INDEX($T$10:$T$11,MATCH(PROPER(TRIM(Raw_Data!C149)),$S$10:$S$11,0)),PROPER(TRIM(Raw_Data!C149)))</f>
        <v>HSR Layout</v>
      </c>
      <c r="D147" s="9" t="str">
        <f aca="false">PROPER(TRIM(Raw_Data!D149))</f>
        <v>Filter Coffee</v>
      </c>
      <c r="E147" s="9" t="str">
        <f aca="false">IFERROR(INDEX($T$6:$T$7,MATCH(PROPER(TRIM(Raw_Data!E149)),$S$6:$S$7,0)),PROPER(TRIM(Raw_Data!E149)))</f>
        <v>Hot Beverages</v>
      </c>
      <c r="F147" s="9" t="n">
        <f aca="false">IF(TRIM(Raw_Data!F149&amp;"")="",1,VALUE(Raw_Data!F149))</f>
        <v>2</v>
      </c>
      <c r="G147" s="13" t="n">
        <f aca="false">VALUE(Raw_Data!G149)</f>
        <v>120</v>
      </c>
      <c r="H147" s="13" t="n">
        <f aca="false">F147*G147</f>
        <v>240</v>
      </c>
      <c r="I147" s="13" t="n">
        <f aca="false">VALUE(Raw_Data!H149)</f>
        <v>100</v>
      </c>
      <c r="J147" s="13" t="n">
        <f aca="false">H147-I147</f>
        <v>140</v>
      </c>
      <c r="K147" s="14" t="n">
        <f aca="false">IFERROR(J147/H147,0)</f>
        <v>0.583333333333333</v>
      </c>
      <c r="L147" s="9" t="str">
        <f aca="false">TEXT(B147,"MMM-YYYY")</f>
        <v>Jul-2026</v>
      </c>
      <c r="M147" s="9" t="n">
        <f aca="false">YEAR(B147)</f>
        <v>2026</v>
      </c>
      <c r="N147" s="9" t="str">
        <f aca="false">IF(TRIM(Raw_Data!I149&amp;"")="","Not Specified",TRIM(Raw_Data!I149))</f>
        <v>Cash</v>
      </c>
      <c r="O147" s="9" t="str">
        <f aca="false">PROPER(TRIM(Raw_Data!J149))</f>
        <v>Completed</v>
      </c>
      <c r="P147" s="9" t="str">
        <f aca="false">IF(O147="Completed","Completed","Not Completed")</f>
        <v>Completed</v>
      </c>
    </row>
    <row r="148" customFormat="false" ht="15" hidden="false" customHeight="false" outlineLevel="0" collapsed="false">
      <c r="A148" s="9" t="str">
        <f aca="false">Raw_Data!A150</f>
        <v>ORD1009</v>
      </c>
      <c r="B148" s="10" t="n">
        <f aca="false">IF(ISNUMBER(Raw_Data!B150),Raw_Data!B150,DATE(VALUE(RIGHT(Raw_Data!B150,4)),VALUE(MID(Raw_Data!B150,4,2)),VALUE(LEFT(Raw_Data!B150,2))))</f>
        <v>46183</v>
      </c>
      <c r="C148" s="9" t="str">
        <f aca="false">IFERROR(INDEX($T$10:$T$11,MATCH(PROPER(TRIM(Raw_Data!C150)),$S$10:$S$11,0)),PROPER(TRIM(Raw_Data!C150)))</f>
        <v>Koramangala</v>
      </c>
      <c r="D148" s="9" t="str">
        <f aca="false">PROPER(TRIM(Raw_Data!D150))</f>
        <v>Nachos</v>
      </c>
      <c r="E148" s="9" t="str">
        <f aca="false">IFERROR(INDEX($T$6:$T$7,MATCH(PROPER(TRIM(Raw_Data!E150)),$S$6:$S$7,0)),PROPER(TRIM(Raw_Data!E150)))</f>
        <v>Snacks</v>
      </c>
      <c r="F148" s="9" t="n">
        <f aca="false">IF(TRIM(Raw_Data!F150&amp;"")="",1,VALUE(Raw_Data!F150))</f>
        <v>1</v>
      </c>
      <c r="G148" s="13" t="n">
        <f aca="false">VALUE(Raw_Data!G150)</f>
        <v>170</v>
      </c>
      <c r="H148" s="13" t="n">
        <f aca="false">F148*G148</f>
        <v>170</v>
      </c>
      <c r="I148" s="13" t="n">
        <f aca="false">VALUE(Raw_Data!H150)</f>
        <v>88</v>
      </c>
      <c r="J148" s="13" t="n">
        <f aca="false">H148-I148</f>
        <v>82</v>
      </c>
      <c r="K148" s="14" t="n">
        <f aca="false">IFERROR(J148/H148,0)</f>
        <v>0.482352941176471</v>
      </c>
      <c r="L148" s="9" t="str">
        <f aca="false">TEXT(B148,"MMM-YYYY")</f>
        <v>Jun-2026</v>
      </c>
      <c r="M148" s="9" t="n">
        <f aca="false">YEAR(B148)</f>
        <v>2026</v>
      </c>
      <c r="N148" s="9" t="str">
        <f aca="false">IF(TRIM(Raw_Data!I150&amp;"")="","Not Specified",TRIM(Raw_Data!I150))</f>
        <v>UPI</v>
      </c>
      <c r="O148" s="9" t="str">
        <f aca="false">PROPER(TRIM(Raw_Data!J150))</f>
        <v>Completed</v>
      </c>
      <c r="P148" s="9" t="str">
        <f aca="false">IF(O148="Completed","Completed","Not Completed")</f>
        <v>Completed</v>
      </c>
    </row>
    <row r="149" customFormat="false" ht="15" hidden="false" customHeight="false" outlineLevel="0" collapsed="false">
      <c r="A149" s="9" t="str">
        <f aca="false">Raw_Data!A151</f>
        <v>ORD1034</v>
      </c>
      <c r="B149" s="10" t="n">
        <f aca="false">IF(ISNUMBER(Raw_Data!B151),Raw_Data!B151,DATE(VALUE(RIGHT(Raw_Data!B151,4)),VALUE(MID(Raw_Data!B151,4,2)),VALUE(LEFT(Raw_Data!B151,2))))</f>
        <v>46177</v>
      </c>
      <c r="C149" s="9" t="str">
        <f aca="false">IFERROR(INDEX($T$10:$T$11,MATCH(PROPER(TRIM(Raw_Data!C151)),$S$10:$S$11,0)),PROPER(TRIM(Raw_Data!C151)))</f>
        <v>Indiranagar</v>
      </c>
      <c r="D149" s="9" t="str">
        <f aca="false">PROPER(TRIM(Raw_Data!D151))</f>
        <v>Veg Puff</v>
      </c>
      <c r="E149" s="9" t="str">
        <f aca="false">IFERROR(INDEX($T$6:$T$7,MATCH(PROPER(TRIM(Raw_Data!E151)),$S$6:$S$7,0)),PROPER(TRIM(Raw_Data!E151)))</f>
        <v>Snacks</v>
      </c>
      <c r="F149" s="9" t="n">
        <f aca="false">IF(TRIM(Raw_Data!F151&amp;"")="",1,VALUE(Raw_Data!F151))</f>
        <v>3</v>
      </c>
      <c r="G149" s="13" t="n">
        <f aca="false">VALUE(Raw_Data!G151)</f>
        <v>80</v>
      </c>
      <c r="H149" s="13" t="n">
        <f aca="false">F149*G149</f>
        <v>240</v>
      </c>
      <c r="I149" s="13" t="n">
        <f aca="false">VALUE(Raw_Data!H151)</f>
        <v>105</v>
      </c>
      <c r="J149" s="13" t="n">
        <f aca="false">H149-I149</f>
        <v>135</v>
      </c>
      <c r="K149" s="14" t="n">
        <f aca="false">IFERROR(J149/H149,0)</f>
        <v>0.5625</v>
      </c>
      <c r="L149" s="9" t="str">
        <f aca="false">TEXT(B149,"MMM-YYYY")</f>
        <v>Jun-2026</v>
      </c>
      <c r="M149" s="9" t="n">
        <f aca="false">YEAR(B149)</f>
        <v>2026</v>
      </c>
      <c r="N149" s="9" t="str">
        <f aca="false">IF(TRIM(Raw_Data!I151&amp;"")="","Not Specified",TRIM(Raw_Data!I151))</f>
        <v>Card</v>
      </c>
      <c r="O149" s="9" t="str">
        <f aca="false">PROPER(TRIM(Raw_Data!J151))</f>
        <v>Cancelled</v>
      </c>
      <c r="P149" s="9" t="str">
        <f aca="false">IF(O149="Completed","Completed","Not Completed")</f>
        <v>Not Completed</v>
      </c>
    </row>
    <row r="150" customFormat="false" ht="15" hidden="false" customHeight="false" outlineLevel="0" collapsed="false">
      <c r="A150" s="9" t="str">
        <f aca="false">Raw_Data!A152</f>
        <v>ORD1072</v>
      </c>
      <c r="B150" s="10" t="n">
        <f aca="false">IF(ISNUMBER(Raw_Data!B152),Raw_Data!B152,DATE(VALUE(RIGHT(Raw_Data!B152,4)),VALUE(MID(Raw_Data!B152,4,2)),VALUE(LEFT(Raw_Data!B152,2))))</f>
        <v>46231</v>
      </c>
      <c r="C150" s="9" t="str">
        <f aca="false">IFERROR(INDEX($T$10:$T$11,MATCH(PROPER(TRIM(Raw_Data!C152)),$S$10:$S$11,0)),PROPER(TRIM(Raw_Data!C152)))</f>
        <v>Koramangala</v>
      </c>
      <c r="D150" s="9" t="str">
        <f aca="false">PROPER(TRIM(Raw_Data!D152))</f>
        <v>Cappuccino</v>
      </c>
      <c r="E150" s="9" t="str">
        <f aca="false">IFERROR(INDEX($T$6:$T$7,MATCH(PROPER(TRIM(Raw_Data!E152)),$S$6:$S$7,0)),PROPER(TRIM(Raw_Data!E152)))</f>
        <v>Hot Beverages</v>
      </c>
      <c r="F150" s="9" t="n">
        <f aca="false">IF(TRIM(Raw_Data!F152&amp;"")="",1,VALUE(Raw_Data!F152))</f>
        <v>2</v>
      </c>
      <c r="G150" s="13" t="n">
        <f aca="false">VALUE(Raw_Data!G152)</f>
        <v>180</v>
      </c>
      <c r="H150" s="13" t="n">
        <f aca="false">F150*G150</f>
        <v>360</v>
      </c>
      <c r="I150" s="13" t="n">
        <f aca="false">VALUE(Raw_Data!H152)</f>
        <v>151</v>
      </c>
      <c r="J150" s="13" t="n">
        <f aca="false">H150-I150</f>
        <v>209</v>
      </c>
      <c r="K150" s="14" t="n">
        <f aca="false">IFERROR(J150/H150,0)</f>
        <v>0.580555555555556</v>
      </c>
      <c r="L150" s="9" t="str">
        <f aca="false">TEXT(B150,"MMM-YYYY")</f>
        <v>Jul-2026</v>
      </c>
      <c r="M150" s="9" t="n">
        <f aca="false">YEAR(B150)</f>
        <v>2026</v>
      </c>
      <c r="N150" s="9" t="str">
        <f aca="false">IF(TRIM(Raw_Data!I152&amp;"")="","Not Specified",TRIM(Raw_Data!I152))</f>
        <v>UPI</v>
      </c>
      <c r="O150" s="9" t="str">
        <f aca="false">PROPER(TRIM(Raw_Data!J152))</f>
        <v>Completed</v>
      </c>
      <c r="P150" s="9" t="str">
        <f aca="false">IF(O150="Completed","Completed","Not Completed")</f>
        <v>Completed</v>
      </c>
    </row>
    <row r="151" customFormat="false" ht="15" hidden="false" customHeight="false" outlineLevel="0" collapsed="false">
      <c r="A151" s="9" t="str">
        <f aca="false">Raw_Data!A153</f>
        <v>ORD1122</v>
      </c>
      <c r="B151" s="10" t="n">
        <f aca="false">IF(ISNUMBER(Raw_Data!B153),Raw_Data!B153,DATE(VALUE(RIGHT(Raw_Data!B153,4)),VALUE(MID(Raw_Data!B153,4,2)),VALUE(LEFT(Raw_Data!B153,2))))</f>
        <v>46206</v>
      </c>
      <c r="C151" s="9" t="str">
        <f aca="false">IFERROR(INDEX($T$10:$T$11,MATCH(PROPER(TRIM(Raw_Data!C153)),$S$10:$S$11,0)),PROPER(TRIM(Raw_Data!C153)))</f>
        <v>HSR Layout</v>
      </c>
      <c r="D151" s="9" t="str">
        <f aca="false">PROPER(TRIM(Raw_Data!D153))</f>
        <v>Garlic Bread</v>
      </c>
      <c r="E151" s="9" t="str">
        <f aca="false">IFERROR(INDEX($T$6:$T$7,MATCH(PROPER(TRIM(Raw_Data!E153)),$S$6:$S$7,0)),PROPER(TRIM(Raw_Data!E153)))</f>
        <v>Snacks</v>
      </c>
      <c r="F151" s="9" t="n">
        <f aca="false">IF(TRIM(Raw_Data!F153&amp;"")="",1,VALUE(Raw_Data!F153))</f>
        <v>1</v>
      </c>
      <c r="G151" s="13" t="n">
        <f aca="false">VALUE(Raw_Data!G153)</f>
        <v>150</v>
      </c>
      <c r="H151" s="13" t="n">
        <f aca="false">F151*G151</f>
        <v>150</v>
      </c>
      <c r="I151" s="13" t="n">
        <f aca="false">VALUE(Raw_Data!H153)</f>
        <v>73</v>
      </c>
      <c r="J151" s="13" t="n">
        <f aca="false">H151-I151</f>
        <v>77</v>
      </c>
      <c r="K151" s="14" t="n">
        <f aca="false">IFERROR(J151/H151,0)</f>
        <v>0.513333333333333</v>
      </c>
      <c r="L151" s="9" t="str">
        <f aca="false">TEXT(B151,"MMM-YYYY")</f>
        <v>Jul-2026</v>
      </c>
      <c r="M151" s="9" t="n">
        <f aca="false">YEAR(B151)</f>
        <v>2026</v>
      </c>
      <c r="N151" s="9" t="str">
        <f aca="false">IF(TRIM(Raw_Data!I153&amp;"")="","Not Specified",TRIM(Raw_Data!I153))</f>
        <v>UPI</v>
      </c>
      <c r="O151" s="9" t="str">
        <f aca="false">PROPER(TRIM(Raw_Data!J153))</f>
        <v>Cancelled</v>
      </c>
      <c r="P151" s="9" t="str">
        <f aca="false">IF(O151="Completed","Completed","Not Completed")</f>
        <v>Not Completed</v>
      </c>
    </row>
    <row r="152" customFormat="false" ht="15" hidden="false" customHeight="false" outlineLevel="0" collapsed="false">
      <c r="A152" s="9" t="str">
        <f aca="false">Raw_Data!A154</f>
        <v>ORD1067</v>
      </c>
      <c r="B152" s="10" t="n">
        <f aca="false">IF(ISNUMBER(Raw_Data!B154),Raw_Data!B154,DATE(VALUE(RIGHT(Raw_Data!B154,4)),VALUE(MID(Raw_Data!B154,4,2)),VALUE(LEFT(Raw_Data!B154,2))))</f>
        <v>46225</v>
      </c>
      <c r="C152" s="9" t="str">
        <f aca="false">IFERROR(INDEX($T$10:$T$11,MATCH(PROPER(TRIM(Raw_Data!C154)),$S$10:$S$11,0)),PROPER(TRIM(Raw_Data!C154)))</f>
        <v>Koramangala</v>
      </c>
      <c r="D152" s="9" t="str">
        <f aca="false">PROPER(TRIM(Raw_Data!D154))</f>
        <v>Danish Pastry</v>
      </c>
      <c r="E152" s="9" t="str">
        <f aca="false">IFERROR(INDEX($T$6:$T$7,MATCH(PROPER(TRIM(Raw_Data!E154)),$S$6:$S$7,0)),PROPER(TRIM(Raw_Data!E154)))</f>
        <v>Bakery</v>
      </c>
      <c r="F152" s="9" t="n">
        <f aca="false">IF(TRIM(Raw_Data!F154&amp;"")="",1,VALUE(Raw_Data!F154))</f>
        <v>1</v>
      </c>
      <c r="G152" s="13" t="n">
        <f aca="false">VALUE(Raw_Data!G154)</f>
        <v>160</v>
      </c>
      <c r="H152" s="13" t="n">
        <f aca="false">F152*G152</f>
        <v>160</v>
      </c>
      <c r="I152" s="13" t="n">
        <f aca="false">VALUE(Raw_Data!H154)</f>
        <v>70</v>
      </c>
      <c r="J152" s="13" t="n">
        <f aca="false">H152-I152</f>
        <v>90</v>
      </c>
      <c r="K152" s="14" t="n">
        <f aca="false">IFERROR(J152/H152,0)</f>
        <v>0.5625</v>
      </c>
      <c r="L152" s="9" t="str">
        <f aca="false">TEXT(B152,"MMM-YYYY")</f>
        <v>Jul-2026</v>
      </c>
      <c r="M152" s="9" t="n">
        <f aca="false">YEAR(B152)</f>
        <v>2026</v>
      </c>
      <c r="N152" s="9" t="str">
        <f aca="false">IF(TRIM(Raw_Data!I154&amp;"")="","Not Specified",TRIM(Raw_Data!I154))</f>
        <v>UPI</v>
      </c>
      <c r="O152" s="9" t="str">
        <f aca="false">PROPER(TRIM(Raw_Data!J154))</f>
        <v>Completed</v>
      </c>
      <c r="P152" s="9" t="str">
        <f aca="false">IF(O152="Completed","Completed","Not Completed")</f>
        <v>Completed</v>
      </c>
    </row>
    <row r="153" customFormat="false" ht="15" hidden="false" customHeight="false" outlineLevel="0" collapsed="false">
      <c r="A153" s="9" t="str">
        <f aca="false">Raw_Data!A155</f>
        <v>ORD1064</v>
      </c>
      <c r="B153" s="10" t="n">
        <f aca="false">IF(ISNUMBER(Raw_Data!B155),Raw_Data!B155,DATE(VALUE(RIGHT(Raw_Data!B155,4)),VALUE(MID(Raw_Data!B155,4,2)),VALUE(LEFT(Raw_Data!B155,2))))</f>
        <v>46174</v>
      </c>
      <c r="C153" s="9" t="str">
        <f aca="false">IFERROR(INDEX($T$10:$T$11,MATCH(PROPER(TRIM(Raw_Data!C155)),$S$10:$S$11,0)),PROPER(TRIM(Raw_Data!C155)))</f>
        <v>Whitefield</v>
      </c>
      <c r="D153" s="9" t="str">
        <f aca="false">PROPER(TRIM(Raw_Data!D155))</f>
        <v>Brownie</v>
      </c>
      <c r="E153" s="9" t="str">
        <f aca="false">IFERROR(INDEX($T$6:$T$7,MATCH(PROPER(TRIM(Raw_Data!E155)),$S$6:$S$7,0)),PROPER(TRIM(Raw_Data!E155)))</f>
        <v>Bakery</v>
      </c>
      <c r="F153" s="9" t="n">
        <f aca="false">IF(TRIM(Raw_Data!F155&amp;"")="",1,VALUE(Raw_Data!F155))</f>
        <v>4</v>
      </c>
      <c r="G153" s="13" t="n">
        <f aca="false">VALUE(Raw_Data!G155)</f>
        <v>150</v>
      </c>
      <c r="H153" s="13" t="n">
        <f aca="false">F153*G153</f>
        <v>600</v>
      </c>
      <c r="I153" s="13" t="n">
        <f aca="false">VALUE(Raw_Data!H155)</f>
        <v>310</v>
      </c>
      <c r="J153" s="13" t="n">
        <f aca="false">H153-I153</f>
        <v>290</v>
      </c>
      <c r="K153" s="14" t="n">
        <f aca="false">IFERROR(J153/H153,0)</f>
        <v>0.483333333333333</v>
      </c>
      <c r="L153" s="9" t="str">
        <f aca="false">TEXT(B153,"MMM-YYYY")</f>
        <v>Jun-2026</v>
      </c>
      <c r="M153" s="9" t="n">
        <f aca="false">YEAR(B153)</f>
        <v>2026</v>
      </c>
      <c r="N153" s="9" t="str">
        <f aca="false">IF(TRIM(Raw_Data!I155&amp;"")="","Not Specified",TRIM(Raw_Data!I155))</f>
        <v>UPI</v>
      </c>
      <c r="O153" s="9" t="str">
        <f aca="false">PROPER(TRIM(Raw_Data!J155))</f>
        <v>Completed</v>
      </c>
      <c r="P153" s="9" t="str">
        <f aca="false">IF(O153="Completed","Completed","Not Completed")</f>
        <v>Completed</v>
      </c>
    </row>
    <row r="154" customFormat="false" ht="15" hidden="false" customHeight="false" outlineLevel="0" collapsed="false">
      <c r="A154" s="9" t="str">
        <f aca="false">Raw_Data!A156</f>
        <v>ORD1172</v>
      </c>
      <c r="B154" s="10" t="n">
        <f aca="false">IF(ISNUMBER(Raw_Data!B156),Raw_Data!B156,DATE(VALUE(RIGHT(Raw_Data!B156,4)),VALUE(MID(Raw_Data!B156,4,2)),VALUE(LEFT(Raw_Data!B156,2))))</f>
        <v>46235</v>
      </c>
      <c r="C154" s="9" t="str">
        <f aca="false">IFERROR(INDEX($T$10:$T$11,MATCH(PROPER(TRIM(Raw_Data!C156)),$S$10:$S$11,0)),PROPER(TRIM(Raw_Data!C156)))</f>
        <v>Koramangala</v>
      </c>
      <c r="D154" s="9" t="str">
        <f aca="false">PROPER(TRIM(Raw_Data!D156))</f>
        <v>Danish Pastry</v>
      </c>
      <c r="E154" s="9" t="str">
        <f aca="false">IFERROR(INDEX($T$6:$T$7,MATCH(PROPER(TRIM(Raw_Data!E156)),$S$6:$S$7,0)),PROPER(TRIM(Raw_Data!E156)))</f>
        <v>Bakery</v>
      </c>
      <c r="F154" s="9" t="n">
        <f aca="false">IF(TRIM(Raw_Data!F156&amp;"")="",1,VALUE(Raw_Data!F156))</f>
        <v>3</v>
      </c>
      <c r="G154" s="13" t="n">
        <f aca="false">VALUE(Raw_Data!G156)</f>
        <v>160</v>
      </c>
      <c r="H154" s="13" t="n">
        <f aca="false">F154*G154</f>
        <v>480</v>
      </c>
      <c r="I154" s="13" t="n">
        <f aca="false">VALUE(Raw_Data!H156)</f>
        <v>235</v>
      </c>
      <c r="J154" s="13" t="n">
        <f aca="false">H154-I154</f>
        <v>245</v>
      </c>
      <c r="K154" s="14" t="n">
        <f aca="false">IFERROR(J154/H154,0)</f>
        <v>0.510416666666667</v>
      </c>
      <c r="L154" s="9" t="str">
        <f aca="false">TEXT(B154,"MMM-YYYY")</f>
        <v>Aug-2026</v>
      </c>
      <c r="M154" s="9" t="n">
        <f aca="false">YEAR(B154)</f>
        <v>2026</v>
      </c>
      <c r="N154" s="9" t="str">
        <f aca="false">IF(TRIM(Raw_Data!I156&amp;"")="","Not Specified",TRIM(Raw_Data!I156))</f>
        <v>Not Specified</v>
      </c>
      <c r="O154" s="9" t="str">
        <f aca="false">PROPER(TRIM(Raw_Data!J156))</f>
        <v>Completed</v>
      </c>
      <c r="P154" s="9" t="str">
        <f aca="false">IF(O154="Completed","Completed","Not Completed")</f>
        <v>Completed</v>
      </c>
    </row>
    <row r="155" customFormat="false" ht="15" hidden="false" customHeight="false" outlineLevel="0" collapsed="false">
      <c r="A155" s="9" t="str">
        <f aca="false">Raw_Data!A157</f>
        <v>ORD1188</v>
      </c>
      <c r="B155" s="10" t="n">
        <f aca="false">IF(ISNUMBER(Raw_Data!B157),Raw_Data!B157,DATE(VALUE(RIGHT(Raw_Data!B157,4)),VALUE(MID(Raw_Data!B157,4,2)),VALUE(LEFT(Raw_Data!B157,2))))</f>
        <v>46242</v>
      </c>
      <c r="C155" s="9" t="str">
        <f aca="false">IFERROR(INDEX($T$10:$T$11,MATCH(PROPER(TRIM(Raw_Data!C157)),$S$10:$S$11,0)),PROPER(TRIM(Raw_Data!C157)))</f>
        <v>Indiranagar</v>
      </c>
      <c r="D155" s="9" t="str">
        <f aca="false">PROPER(TRIM(Raw_Data!D157))</f>
        <v>Espresso</v>
      </c>
      <c r="E155" s="9" t="str">
        <f aca="false">IFERROR(INDEX($T$6:$T$7,MATCH(PROPER(TRIM(Raw_Data!E157)),$S$6:$S$7,0)),PROPER(TRIM(Raw_Data!E157)))</f>
        <v>Hot Beverages</v>
      </c>
      <c r="F155" s="9" t="n">
        <f aca="false">IF(TRIM(Raw_Data!F157&amp;"")="",1,VALUE(Raw_Data!F157))</f>
        <v>2</v>
      </c>
      <c r="G155" s="13" t="n">
        <f aca="false">VALUE(Raw_Data!G157)</f>
        <v>150</v>
      </c>
      <c r="H155" s="13" t="n">
        <f aca="false">F155*G155</f>
        <v>300</v>
      </c>
      <c r="I155" s="13" t="n">
        <f aca="false">VALUE(Raw_Data!H157)</f>
        <v>114</v>
      </c>
      <c r="J155" s="13" t="n">
        <f aca="false">H155-I155</f>
        <v>186</v>
      </c>
      <c r="K155" s="14" t="n">
        <f aca="false">IFERROR(J155/H155,0)</f>
        <v>0.62</v>
      </c>
      <c r="L155" s="9" t="str">
        <f aca="false">TEXT(B155,"MMM-YYYY")</f>
        <v>Aug-2026</v>
      </c>
      <c r="M155" s="9" t="n">
        <f aca="false">YEAR(B155)</f>
        <v>2026</v>
      </c>
      <c r="N155" s="9" t="str">
        <f aca="false">IF(TRIM(Raw_Data!I157&amp;"")="","Not Specified",TRIM(Raw_Data!I157))</f>
        <v>UPI</v>
      </c>
      <c r="O155" s="9" t="str">
        <f aca="false">PROPER(TRIM(Raw_Data!J157))</f>
        <v>Completed</v>
      </c>
      <c r="P155" s="9" t="str">
        <f aca="false">IF(O155="Completed","Completed","Not Completed")</f>
        <v>Completed</v>
      </c>
    </row>
    <row r="156" customFormat="false" ht="15" hidden="false" customHeight="false" outlineLevel="0" collapsed="false">
      <c r="A156" s="9" t="str">
        <f aca="false">Raw_Data!A158</f>
        <v>ORD1154</v>
      </c>
      <c r="B156" s="10" t="n">
        <f aca="false">IF(ISNUMBER(Raw_Data!B158),Raw_Data!B158,DATE(VALUE(RIGHT(Raw_Data!B158,4)),VALUE(MID(Raw_Data!B158,4,2)),VALUE(LEFT(Raw_Data!B158,2))))</f>
        <v>46177</v>
      </c>
      <c r="C156" s="9" t="str">
        <f aca="false">IFERROR(INDEX($T$10:$T$11,MATCH(PROPER(TRIM(Raw_Data!C158)),$S$10:$S$11,0)),PROPER(TRIM(Raw_Data!C158)))</f>
        <v>Koramangala</v>
      </c>
      <c r="D156" s="9" t="str">
        <f aca="false">PROPER(TRIM(Raw_Data!D158))</f>
        <v>Filter Coffee</v>
      </c>
      <c r="E156" s="9" t="str">
        <f aca="false">IFERROR(INDEX($T$6:$T$7,MATCH(PROPER(TRIM(Raw_Data!E158)),$S$6:$S$7,0)),PROPER(TRIM(Raw_Data!E158)))</f>
        <v>Hot Beverages</v>
      </c>
      <c r="F156" s="9" t="n">
        <f aca="false">IF(TRIM(Raw_Data!F158&amp;"")="",1,VALUE(Raw_Data!F158))</f>
        <v>1</v>
      </c>
      <c r="G156" s="13" t="n">
        <f aca="false">VALUE(Raw_Data!G158)</f>
        <v>120</v>
      </c>
      <c r="H156" s="13" t="n">
        <f aca="false">F156*G156</f>
        <v>120</v>
      </c>
      <c r="I156" s="13" t="n">
        <f aca="false">VALUE(Raw_Data!H158)</f>
        <v>54</v>
      </c>
      <c r="J156" s="13" t="n">
        <f aca="false">H156-I156</f>
        <v>66</v>
      </c>
      <c r="K156" s="14" t="n">
        <f aca="false">IFERROR(J156/H156,0)</f>
        <v>0.55</v>
      </c>
      <c r="L156" s="9" t="str">
        <f aca="false">TEXT(B156,"MMM-YYYY")</f>
        <v>Jun-2026</v>
      </c>
      <c r="M156" s="9" t="n">
        <f aca="false">YEAR(B156)</f>
        <v>2026</v>
      </c>
      <c r="N156" s="9" t="str">
        <f aca="false">IF(TRIM(Raw_Data!I158&amp;"")="","Not Specified",TRIM(Raw_Data!I158))</f>
        <v>UPI</v>
      </c>
      <c r="O156" s="9" t="str">
        <f aca="false">PROPER(TRIM(Raw_Data!J158))</f>
        <v>Cancelled</v>
      </c>
      <c r="P156" s="9" t="str">
        <f aca="false">IF(O156="Completed","Completed","Not Completed")</f>
        <v>Not Completed</v>
      </c>
    </row>
    <row r="157" customFormat="false" ht="15" hidden="false" customHeight="false" outlineLevel="0" collapsed="false">
      <c r="A157" s="9" t="str">
        <f aca="false">Raw_Data!A159</f>
        <v>ORD1156</v>
      </c>
      <c r="B157" s="10" t="n">
        <f aca="false">IF(ISNUMBER(Raw_Data!B159),Raw_Data!B159,DATE(VALUE(RIGHT(Raw_Data!B159,4)),VALUE(MID(Raw_Data!B159,4,2)),VALUE(LEFT(Raw_Data!B159,2))))</f>
        <v>46252</v>
      </c>
      <c r="C157" s="9" t="str">
        <f aca="false">IFERROR(INDEX($T$10:$T$11,MATCH(PROPER(TRIM(Raw_Data!C159)),$S$10:$S$11,0)),PROPER(TRIM(Raw_Data!C159)))</f>
        <v>Whitefield</v>
      </c>
      <c r="D157" s="9" t="str">
        <f aca="false">PROPER(TRIM(Raw_Data!D159))</f>
        <v>Veg Puff</v>
      </c>
      <c r="E157" s="9" t="str">
        <f aca="false">IFERROR(INDEX($T$6:$T$7,MATCH(PROPER(TRIM(Raw_Data!E159)),$S$6:$S$7,0)),PROPER(TRIM(Raw_Data!E159)))</f>
        <v>Snacks</v>
      </c>
      <c r="F157" s="9" t="n">
        <f aca="false">IF(TRIM(Raw_Data!F159&amp;"")="",1,VALUE(Raw_Data!F159))</f>
        <v>1</v>
      </c>
      <c r="G157" s="13" t="n">
        <f aca="false">VALUE(Raw_Data!G159)</f>
        <v>80</v>
      </c>
      <c r="H157" s="13" t="n">
        <f aca="false">F157*G157</f>
        <v>80</v>
      </c>
      <c r="I157" s="13" t="n">
        <f aca="false">VALUE(Raw_Data!H159)</f>
        <v>39</v>
      </c>
      <c r="J157" s="13" t="n">
        <f aca="false">H157-I157</f>
        <v>41</v>
      </c>
      <c r="K157" s="14" t="n">
        <f aca="false">IFERROR(J157/H157,0)</f>
        <v>0.5125</v>
      </c>
      <c r="L157" s="9" t="str">
        <f aca="false">TEXT(B157,"MMM-YYYY")</f>
        <v>Aug-2026</v>
      </c>
      <c r="M157" s="9" t="n">
        <f aca="false">YEAR(B157)</f>
        <v>2026</v>
      </c>
      <c r="N157" s="9" t="str">
        <f aca="false">IF(TRIM(Raw_Data!I159&amp;"")="","Not Specified",TRIM(Raw_Data!I159))</f>
        <v>Card</v>
      </c>
      <c r="O157" s="9" t="str">
        <f aca="false">PROPER(TRIM(Raw_Data!J159))</f>
        <v>Completed</v>
      </c>
      <c r="P157" s="9" t="str">
        <f aca="false">IF(O157="Completed","Completed","Not Completed")</f>
        <v>Completed</v>
      </c>
    </row>
    <row r="158" customFormat="false" ht="15" hidden="false" customHeight="false" outlineLevel="0" collapsed="false">
      <c r="A158" s="9" t="str">
        <f aca="false">Raw_Data!A160</f>
        <v>ORD1031</v>
      </c>
      <c r="B158" s="10" t="n">
        <f aca="false">IF(ISNUMBER(Raw_Data!B160),Raw_Data!B160,DATE(VALUE(RIGHT(Raw_Data!B160,4)),VALUE(MID(Raw_Data!B160,4,2)),VALUE(LEFT(Raw_Data!B160,2))))</f>
        <v>46252</v>
      </c>
      <c r="C158" s="9" t="str">
        <f aca="false">IFERROR(INDEX($T$10:$T$11,MATCH(PROPER(TRIM(Raw_Data!C160)),$S$10:$S$11,0)),PROPER(TRIM(Raw_Data!C160)))</f>
        <v>Koramangala</v>
      </c>
      <c r="D158" s="9" t="str">
        <f aca="false">PROPER(TRIM(Raw_Data!D160))</f>
        <v>Garlic Bread</v>
      </c>
      <c r="E158" s="9" t="str">
        <f aca="false">IFERROR(INDEX($T$6:$T$7,MATCH(PROPER(TRIM(Raw_Data!E160)),$S$6:$S$7,0)),PROPER(TRIM(Raw_Data!E160)))</f>
        <v>Snacks</v>
      </c>
      <c r="F158" s="9" t="n">
        <f aca="false">IF(TRIM(Raw_Data!F160&amp;"")="",1,VALUE(Raw_Data!F160))</f>
        <v>3</v>
      </c>
      <c r="G158" s="13" t="n">
        <f aca="false">VALUE(Raw_Data!G160)</f>
        <v>150</v>
      </c>
      <c r="H158" s="13" t="n">
        <f aca="false">F158*G158</f>
        <v>450</v>
      </c>
      <c r="I158" s="13" t="n">
        <f aca="false">VALUE(Raw_Data!H160)</f>
        <v>209</v>
      </c>
      <c r="J158" s="13" t="n">
        <f aca="false">H158-I158</f>
        <v>241</v>
      </c>
      <c r="K158" s="14" t="n">
        <f aca="false">IFERROR(J158/H158,0)</f>
        <v>0.535555555555556</v>
      </c>
      <c r="L158" s="9" t="str">
        <f aca="false">TEXT(B158,"MMM-YYYY")</f>
        <v>Aug-2026</v>
      </c>
      <c r="M158" s="9" t="n">
        <f aca="false">YEAR(B158)</f>
        <v>2026</v>
      </c>
      <c r="N158" s="9" t="str">
        <f aca="false">IF(TRIM(Raw_Data!I160&amp;"")="","Not Specified",TRIM(Raw_Data!I160))</f>
        <v>Cash</v>
      </c>
      <c r="O158" s="9" t="str">
        <f aca="false">PROPER(TRIM(Raw_Data!J160))</f>
        <v>Completed</v>
      </c>
      <c r="P158" s="9" t="str">
        <f aca="false">IF(O158="Completed","Completed","Not Completed")</f>
        <v>Completed</v>
      </c>
    </row>
    <row r="159" customFormat="false" ht="15" hidden="false" customHeight="false" outlineLevel="0" collapsed="false">
      <c r="A159" s="9" t="str">
        <f aca="false">Raw_Data!A161</f>
        <v>ORD1077</v>
      </c>
      <c r="B159" s="10" t="n">
        <f aca="false">IF(ISNUMBER(Raw_Data!B161),Raw_Data!B161,DATE(VALUE(RIGHT(Raw_Data!B161,4)),VALUE(MID(Raw_Data!B161,4,2)),VALUE(LEFT(Raw_Data!B161,2))))</f>
        <v>46235</v>
      </c>
      <c r="C159" s="9" t="str">
        <f aca="false">IFERROR(INDEX($T$10:$T$11,MATCH(PROPER(TRIM(Raw_Data!C161)),$S$10:$S$11,0)),PROPER(TRIM(Raw_Data!C161)))</f>
        <v>Koramangala</v>
      </c>
      <c r="D159" s="9" t="str">
        <f aca="false">PROPER(TRIM(Raw_Data!D161))</f>
        <v>Garlic Bread</v>
      </c>
      <c r="E159" s="9" t="str">
        <f aca="false">IFERROR(INDEX($T$6:$T$7,MATCH(PROPER(TRIM(Raw_Data!E161)),$S$6:$S$7,0)),PROPER(TRIM(Raw_Data!E161)))</f>
        <v>Snacks</v>
      </c>
      <c r="F159" s="9" t="n">
        <f aca="false">IF(TRIM(Raw_Data!F161&amp;"")="",1,VALUE(Raw_Data!F161))</f>
        <v>1</v>
      </c>
      <c r="G159" s="13" t="n">
        <f aca="false">VALUE(Raw_Data!G161)</f>
        <v>150</v>
      </c>
      <c r="H159" s="13" t="n">
        <f aca="false">F159*G159</f>
        <v>150</v>
      </c>
      <c r="I159" s="13" t="n">
        <f aca="false">VALUE(Raw_Data!H161)</f>
        <v>76</v>
      </c>
      <c r="J159" s="13" t="n">
        <f aca="false">H159-I159</f>
        <v>74</v>
      </c>
      <c r="K159" s="14" t="n">
        <f aca="false">IFERROR(J159/H159,0)</f>
        <v>0.493333333333333</v>
      </c>
      <c r="L159" s="9" t="str">
        <f aca="false">TEXT(B159,"MMM-YYYY")</f>
        <v>Aug-2026</v>
      </c>
      <c r="M159" s="9" t="n">
        <f aca="false">YEAR(B159)</f>
        <v>2026</v>
      </c>
      <c r="N159" s="9" t="str">
        <f aca="false">IF(TRIM(Raw_Data!I161&amp;"")="","Not Specified",TRIM(Raw_Data!I161))</f>
        <v>Cash</v>
      </c>
      <c r="O159" s="9" t="str">
        <f aca="false">PROPER(TRIM(Raw_Data!J161))</f>
        <v>Completed</v>
      </c>
      <c r="P159" s="9" t="str">
        <f aca="false">IF(O159="Completed","Completed","Not Completed")</f>
        <v>Completed</v>
      </c>
    </row>
    <row r="160" customFormat="false" ht="15" hidden="false" customHeight="false" outlineLevel="0" collapsed="false">
      <c r="A160" s="9" t="str">
        <f aca="false">Raw_Data!A162</f>
        <v>ORD1133</v>
      </c>
      <c r="B160" s="10" t="n">
        <f aca="false">IF(ISNUMBER(Raw_Data!B162),Raw_Data!B162,DATE(VALUE(RIGHT(Raw_Data!B162,4)),VALUE(MID(Raw_Data!B162,4,2)),VALUE(LEFT(Raw_Data!B162,2))))</f>
        <v>46198</v>
      </c>
      <c r="C160" s="9" t="str">
        <f aca="false">IFERROR(INDEX($T$10:$T$11,MATCH(PROPER(TRIM(Raw_Data!C162)),$S$10:$S$11,0)),PROPER(TRIM(Raw_Data!C162)))</f>
        <v>Koramangala</v>
      </c>
      <c r="D160" s="9" t="str">
        <f aca="false">PROPER(TRIM(Raw_Data!D162))</f>
        <v>Brownie</v>
      </c>
      <c r="E160" s="9" t="str">
        <f aca="false">IFERROR(INDEX($T$6:$T$7,MATCH(PROPER(TRIM(Raw_Data!E162)),$S$6:$S$7,0)),PROPER(TRIM(Raw_Data!E162)))</f>
        <v>Bakery</v>
      </c>
      <c r="F160" s="9" t="n">
        <f aca="false">IF(TRIM(Raw_Data!F162&amp;"")="",1,VALUE(Raw_Data!F162))</f>
        <v>2</v>
      </c>
      <c r="G160" s="13" t="n">
        <f aca="false">VALUE(Raw_Data!G162)</f>
        <v>150</v>
      </c>
      <c r="H160" s="13" t="n">
        <f aca="false">F160*G160</f>
        <v>300</v>
      </c>
      <c r="I160" s="13" t="n">
        <f aca="false">VALUE(Raw_Data!H162)</f>
        <v>126</v>
      </c>
      <c r="J160" s="13" t="n">
        <f aca="false">H160-I160</f>
        <v>174</v>
      </c>
      <c r="K160" s="14" t="n">
        <f aca="false">IFERROR(J160/H160,0)</f>
        <v>0.58</v>
      </c>
      <c r="L160" s="9" t="str">
        <f aca="false">TEXT(B160,"MMM-YYYY")</f>
        <v>Jun-2026</v>
      </c>
      <c r="M160" s="9" t="n">
        <f aca="false">YEAR(B160)</f>
        <v>2026</v>
      </c>
      <c r="N160" s="9" t="str">
        <f aca="false">IF(TRIM(Raw_Data!I162&amp;"")="","Not Specified",TRIM(Raw_Data!I162))</f>
        <v>Cash</v>
      </c>
      <c r="O160" s="9" t="str">
        <f aca="false">PROPER(TRIM(Raw_Data!J162))</f>
        <v>Completed</v>
      </c>
      <c r="P160" s="9" t="str">
        <f aca="false">IF(O160="Completed","Completed","Not Completed")</f>
        <v>Completed</v>
      </c>
    </row>
    <row r="161" customFormat="false" ht="15" hidden="false" customHeight="false" outlineLevel="0" collapsed="false">
      <c r="A161" s="9" t="str">
        <f aca="false">Raw_Data!A163</f>
        <v>ORD1119</v>
      </c>
      <c r="B161" s="10" t="n">
        <f aca="false">IF(ISNUMBER(Raw_Data!B163),Raw_Data!B163,DATE(VALUE(RIGHT(Raw_Data!B163,4)),VALUE(MID(Raw_Data!B163,4,2)),VALUE(LEFT(Raw_Data!B163,2))))</f>
        <v>46198</v>
      </c>
      <c r="C161" s="9" t="str">
        <f aca="false">IFERROR(INDEX($T$10:$T$11,MATCH(PROPER(TRIM(Raw_Data!C163)),$S$10:$S$11,0)),PROPER(TRIM(Raw_Data!C163)))</f>
        <v>Koramangala</v>
      </c>
      <c r="D161" s="9" t="str">
        <f aca="false">PROPER(TRIM(Raw_Data!D163))</f>
        <v>Muffin</v>
      </c>
      <c r="E161" s="9" t="str">
        <f aca="false">IFERROR(INDEX($T$6:$T$7,MATCH(PROPER(TRIM(Raw_Data!E163)),$S$6:$S$7,0)),PROPER(TRIM(Raw_Data!E163)))</f>
        <v>Bakery</v>
      </c>
      <c r="F161" s="9" t="n">
        <f aca="false">IF(TRIM(Raw_Data!F163&amp;"")="",1,VALUE(Raw_Data!F163))</f>
        <v>1</v>
      </c>
      <c r="G161" s="13" t="n">
        <f aca="false">VALUE(Raw_Data!G163)</f>
        <v>130</v>
      </c>
      <c r="H161" s="13" t="n">
        <f aca="false">F161*G161</f>
        <v>130</v>
      </c>
      <c r="I161" s="13" t="n">
        <f aca="false">VALUE(Raw_Data!H163)</f>
        <v>57</v>
      </c>
      <c r="J161" s="13" t="n">
        <f aca="false">H161-I161</f>
        <v>73</v>
      </c>
      <c r="K161" s="14" t="n">
        <f aca="false">IFERROR(J161/H161,0)</f>
        <v>0.561538461538462</v>
      </c>
      <c r="L161" s="9" t="str">
        <f aca="false">TEXT(B161,"MMM-YYYY")</f>
        <v>Jun-2026</v>
      </c>
      <c r="M161" s="9" t="n">
        <f aca="false">YEAR(B161)</f>
        <v>2026</v>
      </c>
      <c r="N161" s="9" t="str">
        <f aca="false">IF(TRIM(Raw_Data!I163&amp;"")="","Not Specified",TRIM(Raw_Data!I163))</f>
        <v>Card</v>
      </c>
      <c r="O161" s="9" t="str">
        <f aca="false">PROPER(TRIM(Raw_Data!J163))</f>
        <v>Completed</v>
      </c>
      <c r="P161" s="9" t="str">
        <f aca="false">IF(O161="Completed","Completed","Not Completed")</f>
        <v>Completed</v>
      </c>
    </row>
    <row r="162" customFormat="false" ht="15" hidden="false" customHeight="false" outlineLevel="0" collapsed="false">
      <c r="A162" s="9" t="str">
        <f aca="false">Raw_Data!A164</f>
        <v>ORD1070</v>
      </c>
      <c r="B162" s="10" t="n">
        <f aca="false">IF(ISNUMBER(Raw_Data!B164),Raw_Data!B164,DATE(VALUE(RIGHT(Raw_Data!B164,4)),VALUE(MID(Raw_Data!B164,4,2)),VALUE(LEFT(Raw_Data!B164,2))))</f>
        <v>46263</v>
      </c>
      <c r="C162" s="9" t="str">
        <f aca="false">IFERROR(INDEX($T$10:$T$11,MATCH(PROPER(TRIM(Raw_Data!C164)),$S$10:$S$11,0)),PROPER(TRIM(Raw_Data!C164)))</f>
        <v>Indiranagar</v>
      </c>
      <c r="D162" s="9" t="str">
        <f aca="false">PROPER(TRIM(Raw_Data!D164))</f>
        <v>Nachos</v>
      </c>
      <c r="E162" s="9" t="str">
        <f aca="false">IFERROR(INDEX($T$6:$T$7,MATCH(PROPER(TRIM(Raw_Data!E164)),$S$6:$S$7,0)),PROPER(TRIM(Raw_Data!E164)))</f>
        <v>Snacks</v>
      </c>
      <c r="F162" s="9" t="n">
        <f aca="false">IF(TRIM(Raw_Data!F164&amp;"")="",1,VALUE(Raw_Data!F164))</f>
        <v>2</v>
      </c>
      <c r="G162" s="13" t="n">
        <f aca="false">VALUE(Raw_Data!G164)</f>
        <v>170</v>
      </c>
      <c r="H162" s="13" t="n">
        <f aca="false">F162*G162</f>
        <v>340</v>
      </c>
      <c r="I162" s="13" t="n">
        <f aca="false">VALUE(Raw_Data!H164)</f>
        <v>168</v>
      </c>
      <c r="J162" s="13" t="n">
        <f aca="false">H162-I162</f>
        <v>172</v>
      </c>
      <c r="K162" s="14" t="n">
        <f aca="false">IFERROR(J162/H162,0)</f>
        <v>0.505882352941176</v>
      </c>
      <c r="L162" s="9" t="str">
        <f aca="false">TEXT(B162,"MMM-YYYY")</f>
        <v>Aug-2026</v>
      </c>
      <c r="M162" s="9" t="n">
        <f aca="false">YEAR(B162)</f>
        <v>2026</v>
      </c>
      <c r="N162" s="9" t="str">
        <f aca="false">IF(TRIM(Raw_Data!I164&amp;"")="","Not Specified",TRIM(Raw_Data!I164))</f>
        <v>Card</v>
      </c>
      <c r="O162" s="9" t="str">
        <f aca="false">PROPER(TRIM(Raw_Data!J164))</f>
        <v>Completed</v>
      </c>
      <c r="P162" s="9" t="str">
        <f aca="false">IF(O162="Completed","Completed","Not Completed")</f>
        <v>Completed</v>
      </c>
    </row>
    <row r="163" customFormat="false" ht="15" hidden="false" customHeight="false" outlineLevel="0" collapsed="false">
      <c r="A163" s="9" t="str">
        <f aca="false">Raw_Data!A165</f>
        <v>ORD1180</v>
      </c>
      <c r="B163" s="10" t="n">
        <f aca="false">IF(ISNUMBER(Raw_Data!B165),Raw_Data!B165,DATE(VALUE(RIGHT(Raw_Data!B165,4)),VALUE(MID(Raw_Data!B165,4,2)),VALUE(LEFT(Raw_Data!B165,2))))</f>
        <v>46178</v>
      </c>
      <c r="C163" s="9" t="str">
        <f aca="false">IFERROR(INDEX($T$10:$T$11,MATCH(PROPER(TRIM(Raw_Data!C165)),$S$10:$S$11,0)),PROPER(TRIM(Raw_Data!C165)))</f>
        <v>Koramangala</v>
      </c>
      <c r="D163" s="9" t="str">
        <f aca="false">PROPER(TRIM(Raw_Data!D165))</f>
        <v>Filter Coffee</v>
      </c>
      <c r="E163" s="9" t="str">
        <f aca="false">IFERROR(INDEX($T$6:$T$7,MATCH(PROPER(TRIM(Raw_Data!E165)),$S$6:$S$7,0)),PROPER(TRIM(Raw_Data!E165)))</f>
        <v>Hot Beverages</v>
      </c>
      <c r="F163" s="9" t="n">
        <f aca="false">IF(TRIM(Raw_Data!F165&amp;"")="",1,VALUE(Raw_Data!F165))</f>
        <v>1</v>
      </c>
      <c r="G163" s="13" t="n">
        <f aca="false">VALUE(Raw_Data!G165)</f>
        <v>120</v>
      </c>
      <c r="H163" s="13" t="n">
        <f aca="false">F163*G163</f>
        <v>120</v>
      </c>
      <c r="I163" s="13" t="n">
        <f aca="false">VALUE(Raw_Data!H165)</f>
        <v>53</v>
      </c>
      <c r="J163" s="13" t="n">
        <f aca="false">H163-I163</f>
        <v>67</v>
      </c>
      <c r="K163" s="14" t="n">
        <f aca="false">IFERROR(J163/H163,0)</f>
        <v>0.558333333333333</v>
      </c>
      <c r="L163" s="9" t="str">
        <f aca="false">TEXT(B163,"MMM-YYYY")</f>
        <v>Jun-2026</v>
      </c>
      <c r="M163" s="9" t="n">
        <f aca="false">YEAR(B163)</f>
        <v>2026</v>
      </c>
      <c r="N163" s="9" t="str">
        <f aca="false">IF(TRIM(Raw_Data!I165&amp;"")="","Not Specified",TRIM(Raw_Data!I165))</f>
        <v>UPI</v>
      </c>
      <c r="O163" s="9" t="str">
        <f aca="false">PROPER(TRIM(Raw_Data!J165))</f>
        <v>Completed</v>
      </c>
      <c r="P163" s="9" t="str">
        <f aca="false">IF(O163="Completed","Completed","Not Completed")</f>
        <v>Completed</v>
      </c>
    </row>
    <row r="164" customFormat="false" ht="15" hidden="false" customHeight="false" outlineLevel="0" collapsed="false">
      <c r="A164" s="9" t="str">
        <f aca="false">Raw_Data!A166</f>
        <v>ORD1129</v>
      </c>
      <c r="B164" s="10" t="n">
        <f aca="false">IF(ISNUMBER(Raw_Data!B166),Raw_Data!B166,DATE(VALUE(RIGHT(Raw_Data!B166,4)),VALUE(MID(Raw_Data!B166,4,2)),VALUE(LEFT(Raw_Data!B166,2))))</f>
        <v>46199</v>
      </c>
      <c r="C164" s="9" t="str">
        <f aca="false">IFERROR(INDEX($T$10:$T$11,MATCH(PROPER(TRIM(Raw_Data!C166)),$S$10:$S$11,0)),PROPER(TRIM(Raw_Data!C166)))</f>
        <v>HSR Layout</v>
      </c>
      <c r="D164" s="9" t="str">
        <f aca="false">PROPER(TRIM(Raw_Data!D166))</f>
        <v>Frappe</v>
      </c>
      <c r="E164" s="9" t="str">
        <f aca="false">IFERROR(INDEX($T$6:$T$7,MATCH(PROPER(TRIM(Raw_Data!E166)),$S$6:$S$7,0)),PROPER(TRIM(Raw_Data!E166)))</f>
        <v>Cold Beverages</v>
      </c>
      <c r="F164" s="9" t="n">
        <f aca="false">IF(TRIM(Raw_Data!F166&amp;"")="",1,VALUE(Raw_Data!F166))</f>
        <v>1</v>
      </c>
      <c r="G164" s="13" t="n">
        <f aca="false">VALUE(Raw_Data!G166)</f>
        <v>240</v>
      </c>
      <c r="H164" s="13" t="n">
        <f aca="false">F164*G164</f>
        <v>240</v>
      </c>
      <c r="I164" s="13" t="n">
        <f aca="false">VALUE(Raw_Data!H166)</f>
        <v>97</v>
      </c>
      <c r="J164" s="13" t="n">
        <f aca="false">H164-I164</f>
        <v>143</v>
      </c>
      <c r="K164" s="14" t="n">
        <f aca="false">IFERROR(J164/H164,0)</f>
        <v>0.595833333333333</v>
      </c>
      <c r="L164" s="9" t="str">
        <f aca="false">TEXT(B164,"MMM-YYYY")</f>
        <v>Jun-2026</v>
      </c>
      <c r="M164" s="9" t="n">
        <f aca="false">YEAR(B164)</f>
        <v>2026</v>
      </c>
      <c r="N164" s="9" t="str">
        <f aca="false">IF(TRIM(Raw_Data!I166&amp;"")="","Not Specified",TRIM(Raw_Data!I166))</f>
        <v>UPI</v>
      </c>
      <c r="O164" s="9" t="str">
        <f aca="false">PROPER(TRIM(Raw_Data!J166))</f>
        <v>Cancelled</v>
      </c>
      <c r="P164" s="9" t="str">
        <f aca="false">IF(O164="Completed","Completed","Not Completed")</f>
        <v>Not Completed</v>
      </c>
    </row>
    <row r="165" customFormat="false" ht="15" hidden="false" customHeight="false" outlineLevel="0" collapsed="false">
      <c r="A165" s="9" t="str">
        <f aca="false">Raw_Data!A167</f>
        <v>ORD1110</v>
      </c>
      <c r="B165" s="10" t="n">
        <f aca="false">IF(ISNUMBER(Raw_Data!B167),Raw_Data!B167,DATE(VALUE(RIGHT(Raw_Data!B167,4)),VALUE(MID(Raw_Data!B167,4,2)),VALUE(LEFT(Raw_Data!B167,2))))</f>
        <v>46211</v>
      </c>
      <c r="C165" s="9" t="str">
        <f aca="false">IFERROR(INDEX($T$10:$T$11,MATCH(PROPER(TRIM(Raw_Data!C167)),$S$10:$S$11,0)),PROPER(TRIM(Raw_Data!C167)))</f>
        <v>Koramangala</v>
      </c>
      <c r="D165" s="9" t="str">
        <f aca="false">PROPER(TRIM(Raw_Data!D167))</f>
        <v>Garlic Bread</v>
      </c>
      <c r="E165" s="9" t="str">
        <f aca="false">IFERROR(INDEX($T$6:$T$7,MATCH(PROPER(TRIM(Raw_Data!E167)),$S$6:$S$7,0)),PROPER(TRIM(Raw_Data!E167)))</f>
        <v>Snacks</v>
      </c>
      <c r="F165" s="9" t="n">
        <f aca="false">IF(TRIM(Raw_Data!F167&amp;"")="",1,VALUE(Raw_Data!F167))</f>
        <v>2</v>
      </c>
      <c r="G165" s="13" t="n">
        <f aca="false">VALUE(Raw_Data!G167)</f>
        <v>150</v>
      </c>
      <c r="H165" s="13" t="n">
        <f aca="false">F165*G165</f>
        <v>300</v>
      </c>
      <c r="I165" s="13" t="n">
        <f aca="false">VALUE(Raw_Data!H167)</f>
        <v>161</v>
      </c>
      <c r="J165" s="13" t="n">
        <f aca="false">H165-I165</f>
        <v>139</v>
      </c>
      <c r="K165" s="14" t="n">
        <f aca="false">IFERROR(J165/H165,0)</f>
        <v>0.463333333333333</v>
      </c>
      <c r="L165" s="9" t="str">
        <f aca="false">TEXT(B165,"MMM-YYYY")</f>
        <v>Jul-2026</v>
      </c>
      <c r="M165" s="9" t="n">
        <f aca="false">YEAR(B165)</f>
        <v>2026</v>
      </c>
      <c r="N165" s="9" t="str">
        <f aca="false">IF(TRIM(Raw_Data!I167&amp;"")="","Not Specified",TRIM(Raw_Data!I167))</f>
        <v>UPI</v>
      </c>
      <c r="O165" s="9" t="str">
        <f aca="false">PROPER(TRIM(Raw_Data!J167))</f>
        <v>Cancelled</v>
      </c>
      <c r="P165" s="9" t="str">
        <f aca="false">IF(O165="Completed","Completed","Not Completed")</f>
        <v>Not Completed</v>
      </c>
    </row>
    <row r="166" customFormat="false" ht="15" hidden="false" customHeight="false" outlineLevel="0" collapsed="false">
      <c r="A166" s="9" t="str">
        <f aca="false">Raw_Data!A168</f>
        <v>ORD1138</v>
      </c>
      <c r="B166" s="10" t="n">
        <f aca="false">IF(ISNUMBER(Raw_Data!B168),Raw_Data!B168,DATE(VALUE(RIGHT(Raw_Data!B168,4)),VALUE(MID(Raw_Data!B168,4,2)),VALUE(LEFT(Raw_Data!B168,2))))</f>
        <v>46255</v>
      </c>
      <c r="C166" s="9" t="str">
        <f aca="false">IFERROR(INDEX($T$10:$T$11,MATCH(PROPER(TRIM(Raw_Data!C168)),$S$10:$S$11,0)),PROPER(TRIM(Raw_Data!C168)))</f>
        <v>Koramangala</v>
      </c>
      <c r="D166" s="9" t="str">
        <f aca="false">PROPER(TRIM(Raw_Data!D168))</f>
        <v>Cold Brew</v>
      </c>
      <c r="E166" s="9" t="str">
        <f aca="false">IFERROR(INDEX($T$6:$T$7,MATCH(PROPER(TRIM(Raw_Data!E168)),$S$6:$S$7,0)),PROPER(TRIM(Raw_Data!E168)))</f>
        <v>Cold Beverages</v>
      </c>
      <c r="F166" s="9" t="n">
        <f aca="false">IF(TRIM(Raw_Data!F168&amp;"")="",1,VALUE(Raw_Data!F168))</f>
        <v>1</v>
      </c>
      <c r="G166" s="13" t="n">
        <f aca="false">VALUE(Raw_Data!G168)</f>
        <v>220</v>
      </c>
      <c r="H166" s="13" t="n">
        <f aca="false">F166*G166</f>
        <v>220</v>
      </c>
      <c r="I166" s="13" t="n">
        <f aca="false">VALUE(Raw_Data!H168)</f>
        <v>90</v>
      </c>
      <c r="J166" s="13" t="n">
        <f aca="false">H166-I166</f>
        <v>130</v>
      </c>
      <c r="K166" s="14" t="n">
        <f aca="false">IFERROR(J166/H166,0)</f>
        <v>0.590909090909091</v>
      </c>
      <c r="L166" s="9" t="str">
        <f aca="false">TEXT(B166,"MMM-YYYY")</f>
        <v>Aug-2026</v>
      </c>
      <c r="M166" s="9" t="n">
        <f aca="false">YEAR(B166)</f>
        <v>2026</v>
      </c>
      <c r="N166" s="9" t="str">
        <f aca="false">IF(TRIM(Raw_Data!I168&amp;"")="","Not Specified",TRIM(Raw_Data!I168))</f>
        <v>Card</v>
      </c>
      <c r="O166" s="9" t="str">
        <f aca="false">PROPER(TRIM(Raw_Data!J168))</f>
        <v>Completed</v>
      </c>
      <c r="P166" s="9" t="str">
        <f aca="false">IF(O166="Completed","Completed","Not Completed")</f>
        <v>Completed</v>
      </c>
    </row>
    <row r="167" customFormat="false" ht="15" hidden="false" customHeight="false" outlineLevel="0" collapsed="false">
      <c r="A167" s="9" t="str">
        <f aca="false">Raw_Data!A169</f>
        <v>ORD1029</v>
      </c>
      <c r="B167" s="10" t="n">
        <f aca="false">IF(ISNUMBER(Raw_Data!B169),Raw_Data!B169,DATE(VALUE(RIGHT(Raw_Data!B169,4)),VALUE(MID(Raw_Data!B169,4,2)),VALUE(LEFT(Raw_Data!B169,2))))</f>
        <v>46198</v>
      </c>
      <c r="C167" s="9" t="str">
        <f aca="false">IFERROR(INDEX($T$10:$T$11,MATCH(PROPER(TRIM(Raw_Data!C169)),$S$10:$S$11,0)),PROPER(TRIM(Raw_Data!C169)))</f>
        <v>Whitefield</v>
      </c>
      <c r="D167" s="9" t="str">
        <f aca="false">PROPER(TRIM(Raw_Data!D169))</f>
        <v>Veg Puff</v>
      </c>
      <c r="E167" s="9" t="str">
        <f aca="false">IFERROR(INDEX($T$6:$T$7,MATCH(PROPER(TRIM(Raw_Data!E169)),$S$6:$S$7,0)),PROPER(TRIM(Raw_Data!E169)))</f>
        <v>Snacks</v>
      </c>
      <c r="F167" s="9" t="n">
        <f aca="false">IF(TRIM(Raw_Data!F169&amp;"")="",1,VALUE(Raw_Data!F169))</f>
        <v>3</v>
      </c>
      <c r="G167" s="13" t="n">
        <f aca="false">VALUE(Raw_Data!G169)</f>
        <v>80</v>
      </c>
      <c r="H167" s="13" t="n">
        <f aca="false">F167*G167</f>
        <v>240</v>
      </c>
      <c r="I167" s="13" t="n">
        <f aca="false">VALUE(Raw_Data!H169)</f>
        <v>123</v>
      </c>
      <c r="J167" s="13" t="n">
        <f aca="false">H167-I167</f>
        <v>117</v>
      </c>
      <c r="K167" s="14" t="n">
        <f aca="false">IFERROR(J167/H167,0)</f>
        <v>0.4875</v>
      </c>
      <c r="L167" s="9" t="str">
        <f aca="false">TEXT(B167,"MMM-YYYY")</f>
        <v>Jun-2026</v>
      </c>
      <c r="M167" s="9" t="n">
        <f aca="false">YEAR(B167)</f>
        <v>2026</v>
      </c>
      <c r="N167" s="9" t="str">
        <f aca="false">IF(TRIM(Raw_Data!I169&amp;"")="","Not Specified",TRIM(Raw_Data!I169))</f>
        <v>UPI</v>
      </c>
      <c r="O167" s="9" t="str">
        <f aca="false">PROPER(TRIM(Raw_Data!J169))</f>
        <v>Cancelled</v>
      </c>
      <c r="P167" s="9" t="str">
        <f aca="false">IF(O167="Completed","Completed","Not Completed")</f>
        <v>Not Completed</v>
      </c>
    </row>
    <row r="168" customFormat="false" ht="15" hidden="false" customHeight="false" outlineLevel="0" collapsed="false">
      <c r="A168" s="9" t="str">
        <f aca="false">Raw_Data!A170</f>
        <v>ORD1091</v>
      </c>
      <c r="B168" s="10" t="n">
        <f aca="false">IF(ISNUMBER(Raw_Data!B170),Raw_Data!B170,DATE(VALUE(RIGHT(Raw_Data!B170,4)),VALUE(MID(Raw_Data!B170,4,2)),VALUE(LEFT(Raw_Data!B170,2))))</f>
        <v>46217</v>
      </c>
      <c r="C168" s="9" t="str">
        <f aca="false">IFERROR(INDEX($T$10:$T$11,MATCH(PROPER(TRIM(Raw_Data!C170)),$S$10:$S$11,0)),PROPER(TRIM(Raw_Data!C170)))</f>
        <v>Whitefield</v>
      </c>
      <c r="D168" s="9" t="str">
        <f aca="false">PROPER(TRIM(Raw_Data!D170))</f>
        <v>Croissant</v>
      </c>
      <c r="E168" s="9" t="str">
        <f aca="false">IFERROR(INDEX($T$6:$T$7,MATCH(PROPER(TRIM(Raw_Data!E170)),$S$6:$S$7,0)),PROPER(TRIM(Raw_Data!E170)))</f>
        <v>Bakery</v>
      </c>
      <c r="F168" s="9" t="n">
        <f aca="false">IF(TRIM(Raw_Data!F170&amp;"")="",1,VALUE(Raw_Data!F170))</f>
        <v>1</v>
      </c>
      <c r="G168" s="13" t="n">
        <f aca="false">VALUE(Raw_Data!G170)</f>
        <v>140</v>
      </c>
      <c r="H168" s="13" t="n">
        <f aca="false">F168*G168</f>
        <v>140</v>
      </c>
      <c r="I168" s="13" t="n">
        <f aca="false">VALUE(Raw_Data!H170)</f>
        <v>68</v>
      </c>
      <c r="J168" s="13" t="n">
        <f aca="false">H168-I168</f>
        <v>72</v>
      </c>
      <c r="K168" s="14" t="n">
        <f aca="false">IFERROR(J168/H168,0)</f>
        <v>0.514285714285714</v>
      </c>
      <c r="L168" s="9" t="str">
        <f aca="false">TEXT(B168,"MMM-YYYY")</f>
        <v>Jul-2026</v>
      </c>
      <c r="M168" s="9" t="n">
        <f aca="false">YEAR(B168)</f>
        <v>2026</v>
      </c>
      <c r="N168" s="9" t="str">
        <f aca="false">IF(TRIM(Raw_Data!I170&amp;"")="","Not Specified",TRIM(Raw_Data!I170))</f>
        <v>Cash</v>
      </c>
      <c r="O168" s="9" t="str">
        <f aca="false">PROPER(TRIM(Raw_Data!J170))</f>
        <v>Completed</v>
      </c>
      <c r="P168" s="9" t="str">
        <f aca="false">IF(O168="Completed","Completed","Not Completed")</f>
        <v>Completed</v>
      </c>
    </row>
    <row r="169" customFormat="false" ht="15" hidden="false" customHeight="false" outlineLevel="0" collapsed="false">
      <c r="A169" s="9" t="str">
        <f aca="false">Raw_Data!A171</f>
        <v>ORD1135</v>
      </c>
      <c r="B169" s="10" t="n">
        <f aca="false">IF(ISNUMBER(Raw_Data!B171),Raw_Data!B171,DATE(VALUE(RIGHT(Raw_Data!B171,4)),VALUE(MID(Raw_Data!B171,4,2)),VALUE(LEFT(Raw_Data!B171,2))))</f>
        <v>46217</v>
      </c>
      <c r="C169" s="9" t="str">
        <f aca="false">IFERROR(INDEX($T$10:$T$11,MATCH(PROPER(TRIM(Raw_Data!C171)),$S$10:$S$11,0)),PROPER(TRIM(Raw_Data!C171)))</f>
        <v>Indiranagar</v>
      </c>
      <c r="D169" s="9" t="str">
        <f aca="false">PROPER(TRIM(Raw_Data!D171))</f>
        <v>Latte</v>
      </c>
      <c r="E169" s="9" t="str">
        <f aca="false">IFERROR(INDEX($T$6:$T$7,MATCH(PROPER(TRIM(Raw_Data!E171)),$S$6:$S$7,0)),PROPER(TRIM(Raw_Data!E171)))</f>
        <v>Hot Beverages</v>
      </c>
      <c r="F169" s="9" t="n">
        <f aca="false">IF(TRIM(Raw_Data!F171&amp;"")="",1,VALUE(Raw_Data!F171))</f>
        <v>1</v>
      </c>
      <c r="G169" s="13" t="n">
        <f aca="false">VALUE(Raw_Data!G171)</f>
        <v>190</v>
      </c>
      <c r="H169" s="13" t="n">
        <f aca="false">F169*G169</f>
        <v>190</v>
      </c>
      <c r="I169" s="13" t="n">
        <f aca="false">VALUE(Raw_Data!H171)</f>
        <v>71</v>
      </c>
      <c r="J169" s="13" t="n">
        <f aca="false">H169-I169</f>
        <v>119</v>
      </c>
      <c r="K169" s="14" t="n">
        <f aca="false">IFERROR(J169/H169,0)</f>
        <v>0.626315789473684</v>
      </c>
      <c r="L169" s="9" t="str">
        <f aca="false">TEXT(B169,"MMM-YYYY")</f>
        <v>Jul-2026</v>
      </c>
      <c r="M169" s="9" t="n">
        <f aca="false">YEAR(B169)</f>
        <v>2026</v>
      </c>
      <c r="N169" s="9" t="str">
        <f aca="false">IF(TRIM(Raw_Data!I171&amp;"")="","Not Specified",TRIM(Raw_Data!I171))</f>
        <v>Cash</v>
      </c>
      <c r="O169" s="9" t="str">
        <f aca="false">PROPER(TRIM(Raw_Data!J171))</f>
        <v>Completed</v>
      </c>
      <c r="P169" s="9" t="str">
        <f aca="false">IF(O169="Completed","Completed","Not Completed")</f>
        <v>Completed</v>
      </c>
    </row>
    <row r="170" customFormat="false" ht="15" hidden="false" customHeight="false" outlineLevel="0" collapsed="false">
      <c r="A170" s="9" t="str">
        <f aca="false">Raw_Data!A172</f>
        <v>ORD1016</v>
      </c>
      <c r="B170" s="10" t="n">
        <f aca="false">IF(ISNUMBER(Raw_Data!B172),Raw_Data!B172,DATE(VALUE(RIGHT(Raw_Data!B172,4)),VALUE(MID(Raw_Data!B172,4,2)),VALUE(LEFT(Raw_Data!B172,2))))</f>
        <v>46184</v>
      </c>
      <c r="C170" s="9" t="str">
        <f aca="false">IFERROR(INDEX($T$10:$T$11,MATCH(PROPER(TRIM(Raw_Data!C172)),$S$10:$S$11,0)),PROPER(TRIM(Raw_Data!C172)))</f>
        <v>Indiranagar</v>
      </c>
      <c r="D170" s="9" t="str">
        <f aca="false">PROPER(TRIM(Raw_Data!D172))</f>
        <v>Hot Chocolate</v>
      </c>
      <c r="E170" s="9" t="str">
        <f aca="false">IFERROR(INDEX($T$6:$T$7,MATCH(PROPER(TRIM(Raw_Data!E172)),$S$6:$S$7,0)),PROPER(TRIM(Raw_Data!E172)))</f>
        <v>Hot Beverages</v>
      </c>
      <c r="F170" s="9" t="n">
        <f aca="false">IF(TRIM(Raw_Data!F172&amp;"")="",1,VALUE(Raw_Data!F172))</f>
        <v>1</v>
      </c>
      <c r="G170" s="13" t="n">
        <f aca="false">VALUE(Raw_Data!G172)</f>
        <v>170</v>
      </c>
      <c r="H170" s="13" t="n">
        <f aca="false">F170*G170</f>
        <v>170</v>
      </c>
      <c r="I170" s="13" t="n">
        <f aca="false">VALUE(Raw_Data!H172)</f>
        <v>63</v>
      </c>
      <c r="J170" s="13" t="n">
        <f aca="false">H170-I170</f>
        <v>107</v>
      </c>
      <c r="K170" s="14" t="n">
        <f aca="false">IFERROR(J170/H170,0)</f>
        <v>0.629411764705882</v>
      </c>
      <c r="L170" s="9" t="str">
        <f aca="false">TEXT(B170,"MMM-YYYY")</f>
        <v>Jun-2026</v>
      </c>
      <c r="M170" s="9" t="n">
        <f aca="false">YEAR(B170)</f>
        <v>2026</v>
      </c>
      <c r="N170" s="9" t="str">
        <f aca="false">IF(TRIM(Raw_Data!I172&amp;"")="","Not Specified",TRIM(Raw_Data!I172))</f>
        <v>UPI</v>
      </c>
      <c r="O170" s="9" t="str">
        <f aca="false">PROPER(TRIM(Raw_Data!J172))</f>
        <v>Completed</v>
      </c>
      <c r="P170" s="9" t="str">
        <f aca="false">IF(O170="Completed","Completed","Not Completed")</f>
        <v>Completed</v>
      </c>
    </row>
    <row r="171" customFormat="false" ht="15" hidden="false" customHeight="false" outlineLevel="0" collapsed="false">
      <c r="A171" s="9" t="str">
        <f aca="false">Raw_Data!A173</f>
        <v>ORD1083</v>
      </c>
      <c r="B171" s="10" t="n">
        <f aca="false">IF(ISNUMBER(Raw_Data!B173),Raw_Data!B173,DATE(VALUE(RIGHT(Raw_Data!B173,4)),VALUE(MID(Raw_Data!B173,4,2)),VALUE(LEFT(Raw_Data!B173,2))))</f>
        <v>46236</v>
      </c>
      <c r="C171" s="9" t="str">
        <f aca="false">IFERROR(INDEX($T$10:$T$11,MATCH(PROPER(TRIM(Raw_Data!C173)),$S$10:$S$11,0)),PROPER(TRIM(Raw_Data!C173)))</f>
        <v>HSR Layout</v>
      </c>
      <c r="D171" s="9" t="str">
        <f aca="false">PROPER(TRIM(Raw_Data!D173))</f>
        <v>Danish Pastry</v>
      </c>
      <c r="E171" s="9" t="str">
        <f aca="false">IFERROR(INDEX($T$6:$T$7,MATCH(PROPER(TRIM(Raw_Data!E173)),$S$6:$S$7,0)),PROPER(TRIM(Raw_Data!E173)))</f>
        <v>Bakery</v>
      </c>
      <c r="F171" s="9" t="n">
        <f aca="false">IF(TRIM(Raw_Data!F173&amp;"")="",1,VALUE(Raw_Data!F173))</f>
        <v>1</v>
      </c>
      <c r="G171" s="13" t="n">
        <f aca="false">VALUE(Raw_Data!G173)</f>
        <v>160</v>
      </c>
      <c r="H171" s="13" t="n">
        <f aca="false">F171*G171</f>
        <v>160</v>
      </c>
      <c r="I171" s="13" t="n">
        <f aca="false">VALUE(Raw_Data!H173)</f>
        <v>67</v>
      </c>
      <c r="J171" s="13" t="n">
        <f aca="false">H171-I171</f>
        <v>93</v>
      </c>
      <c r="K171" s="14" t="n">
        <f aca="false">IFERROR(J171/H171,0)</f>
        <v>0.58125</v>
      </c>
      <c r="L171" s="9" t="str">
        <f aca="false">TEXT(B171,"MMM-YYYY")</f>
        <v>Aug-2026</v>
      </c>
      <c r="M171" s="9" t="n">
        <f aca="false">YEAR(B171)</f>
        <v>2026</v>
      </c>
      <c r="N171" s="9" t="str">
        <f aca="false">IF(TRIM(Raw_Data!I173&amp;"")="","Not Specified",TRIM(Raw_Data!I173))</f>
        <v>UPI</v>
      </c>
      <c r="O171" s="9" t="str">
        <f aca="false">PROPER(TRIM(Raw_Data!J173))</f>
        <v>Completed</v>
      </c>
      <c r="P171" s="9" t="str">
        <f aca="false">IF(O171="Completed","Completed","Not Completed")</f>
        <v>Completed</v>
      </c>
    </row>
    <row r="172" customFormat="false" ht="15" hidden="false" customHeight="false" outlineLevel="0" collapsed="false">
      <c r="A172" s="9" t="str">
        <f aca="false">Raw_Data!A174</f>
        <v>ORD1013</v>
      </c>
      <c r="B172" s="10" t="n">
        <f aca="false">IF(ISNUMBER(Raw_Data!B174),Raw_Data!B174,DATE(VALUE(RIGHT(Raw_Data!B174,4)),VALUE(MID(Raw_Data!B174,4,2)),VALUE(LEFT(Raw_Data!B174,2))))</f>
        <v>46219</v>
      </c>
      <c r="C172" s="9" t="str">
        <f aca="false">IFERROR(INDEX($T$10:$T$11,MATCH(PROPER(TRIM(Raw_Data!C174)),$S$10:$S$11,0)),PROPER(TRIM(Raw_Data!C174)))</f>
        <v>Indiranagar</v>
      </c>
      <c r="D172" s="9" t="str">
        <f aca="false">PROPER(TRIM(Raw_Data!D174))</f>
        <v>Filter Coffee</v>
      </c>
      <c r="E172" s="9" t="str">
        <f aca="false">IFERROR(INDEX($T$6:$T$7,MATCH(PROPER(TRIM(Raw_Data!E174)),$S$6:$S$7,0)),PROPER(TRIM(Raw_Data!E174)))</f>
        <v>Hot Beverages</v>
      </c>
      <c r="F172" s="9" t="n">
        <f aca="false">IF(TRIM(Raw_Data!F174&amp;"")="",1,VALUE(Raw_Data!F174))</f>
        <v>2</v>
      </c>
      <c r="G172" s="13" t="n">
        <f aca="false">VALUE(Raw_Data!G174)</f>
        <v>120</v>
      </c>
      <c r="H172" s="13" t="n">
        <f aca="false">F172*G172</f>
        <v>240</v>
      </c>
      <c r="I172" s="13" t="n">
        <f aca="false">VALUE(Raw_Data!H174)</f>
        <v>89</v>
      </c>
      <c r="J172" s="13" t="n">
        <f aca="false">H172-I172</f>
        <v>151</v>
      </c>
      <c r="K172" s="14" t="n">
        <f aca="false">IFERROR(J172/H172,0)</f>
        <v>0.629166666666667</v>
      </c>
      <c r="L172" s="9" t="str">
        <f aca="false">TEXT(B172,"MMM-YYYY")</f>
        <v>Jul-2026</v>
      </c>
      <c r="M172" s="9" t="n">
        <f aca="false">YEAR(B172)</f>
        <v>2026</v>
      </c>
      <c r="N172" s="9" t="str">
        <f aca="false">IF(TRIM(Raw_Data!I174&amp;"")="","Not Specified",TRIM(Raw_Data!I174))</f>
        <v>UPI</v>
      </c>
      <c r="O172" s="9" t="str">
        <f aca="false">PROPER(TRIM(Raw_Data!J174))</f>
        <v>Completed</v>
      </c>
      <c r="P172" s="9" t="str">
        <f aca="false">IF(O172="Completed","Completed","Not Completed")</f>
        <v>Completed</v>
      </c>
    </row>
    <row r="173" customFormat="false" ht="15" hidden="false" customHeight="false" outlineLevel="0" collapsed="false">
      <c r="A173" s="9" t="str">
        <f aca="false">Raw_Data!A175</f>
        <v>ORD1162</v>
      </c>
      <c r="B173" s="10" t="n">
        <f aca="false">IF(ISNUMBER(Raw_Data!B175),Raw_Data!B175,DATE(VALUE(RIGHT(Raw_Data!B175,4)),VALUE(MID(Raw_Data!B175,4,2)),VALUE(LEFT(Raw_Data!B175,2))))</f>
        <v>46206</v>
      </c>
      <c r="C173" s="9" t="str">
        <f aca="false">IFERROR(INDEX($T$10:$T$11,MATCH(PROPER(TRIM(Raw_Data!C175)),$S$10:$S$11,0)),PROPER(TRIM(Raw_Data!C175)))</f>
        <v>Whitefield</v>
      </c>
      <c r="D173" s="9" t="str">
        <f aca="false">PROPER(TRIM(Raw_Data!D175))</f>
        <v>Muffin</v>
      </c>
      <c r="E173" s="9" t="str">
        <f aca="false">IFERROR(INDEX($T$6:$T$7,MATCH(PROPER(TRIM(Raw_Data!E175)),$S$6:$S$7,0)),PROPER(TRIM(Raw_Data!E175)))</f>
        <v>Bakery</v>
      </c>
      <c r="F173" s="9" t="n">
        <f aca="false">IF(TRIM(Raw_Data!F175&amp;"")="",1,VALUE(Raw_Data!F175))</f>
        <v>2</v>
      </c>
      <c r="G173" s="13" t="n">
        <f aca="false">VALUE(Raw_Data!G175)</f>
        <v>130</v>
      </c>
      <c r="H173" s="13" t="n">
        <f aca="false">F173*G173</f>
        <v>260</v>
      </c>
      <c r="I173" s="13" t="n">
        <f aca="false">VALUE(Raw_Data!H175)</f>
        <v>127</v>
      </c>
      <c r="J173" s="13" t="n">
        <f aca="false">H173-I173</f>
        <v>133</v>
      </c>
      <c r="K173" s="14" t="n">
        <f aca="false">IFERROR(J173/H173,0)</f>
        <v>0.511538461538462</v>
      </c>
      <c r="L173" s="9" t="str">
        <f aca="false">TEXT(B173,"MMM-YYYY")</f>
        <v>Jul-2026</v>
      </c>
      <c r="M173" s="9" t="n">
        <f aca="false">YEAR(B173)</f>
        <v>2026</v>
      </c>
      <c r="N173" s="9" t="str">
        <f aca="false">IF(TRIM(Raw_Data!I175&amp;"")="","Not Specified",TRIM(Raw_Data!I175))</f>
        <v>UPI</v>
      </c>
      <c r="O173" s="9" t="str">
        <f aca="false">PROPER(TRIM(Raw_Data!J175))</f>
        <v>Completed</v>
      </c>
      <c r="P173" s="9" t="str">
        <f aca="false">IF(O173="Completed","Completed","Not Completed")</f>
        <v>Completed</v>
      </c>
    </row>
    <row r="174" customFormat="false" ht="15" hidden="false" customHeight="false" outlineLevel="0" collapsed="false">
      <c r="A174" s="9" t="str">
        <f aca="false">Raw_Data!A176</f>
        <v>ORD1197</v>
      </c>
      <c r="B174" s="10" t="n">
        <f aca="false">IF(ISNUMBER(Raw_Data!B176),Raw_Data!B176,DATE(VALUE(RIGHT(Raw_Data!B176,4)),VALUE(MID(Raw_Data!B176,4,2)),VALUE(LEFT(Raw_Data!B176,2))))</f>
        <v>46216</v>
      </c>
      <c r="C174" s="9" t="str">
        <f aca="false">IFERROR(INDEX($T$10:$T$11,MATCH(PROPER(TRIM(Raw_Data!C176)),$S$10:$S$11,0)),PROPER(TRIM(Raw_Data!C176)))</f>
        <v>HSR Layout</v>
      </c>
      <c r="D174" s="9" t="str">
        <f aca="false">PROPER(TRIM(Raw_Data!D176))</f>
        <v>Frappe</v>
      </c>
      <c r="E174" s="9" t="str">
        <f aca="false">IFERROR(INDEX($T$6:$T$7,MATCH(PROPER(TRIM(Raw_Data!E176)),$S$6:$S$7,0)),PROPER(TRIM(Raw_Data!E176)))</f>
        <v>Cold Beverages</v>
      </c>
      <c r="F174" s="9" t="n">
        <f aca="false">IF(TRIM(Raw_Data!F176&amp;"")="",1,VALUE(Raw_Data!F176))</f>
        <v>2</v>
      </c>
      <c r="G174" s="13" t="n">
        <f aca="false">VALUE(Raw_Data!G176)</f>
        <v>240</v>
      </c>
      <c r="H174" s="13" t="n">
        <f aca="false">F174*G174</f>
        <v>480</v>
      </c>
      <c r="I174" s="13" t="n">
        <f aca="false">VALUE(Raw_Data!H176)</f>
        <v>195</v>
      </c>
      <c r="J174" s="13" t="n">
        <f aca="false">H174-I174</f>
        <v>285</v>
      </c>
      <c r="K174" s="14" t="n">
        <f aca="false">IFERROR(J174/H174,0)</f>
        <v>0.59375</v>
      </c>
      <c r="L174" s="9" t="str">
        <f aca="false">TEXT(B174,"MMM-YYYY")</f>
        <v>Jul-2026</v>
      </c>
      <c r="M174" s="9" t="n">
        <f aca="false">YEAR(B174)</f>
        <v>2026</v>
      </c>
      <c r="N174" s="9" t="str">
        <f aca="false">IF(TRIM(Raw_Data!I176&amp;"")="","Not Specified",TRIM(Raw_Data!I176))</f>
        <v>Cash</v>
      </c>
      <c r="O174" s="9" t="str">
        <f aca="false">PROPER(TRIM(Raw_Data!J176))</f>
        <v>Completed</v>
      </c>
      <c r="P174" s="9" t="str">
        <f aca="false">IF(O174="Completed","Completed","Not Completed")</f>
        <v>Completed</v>
      </c>
    </row>
    <row r="175" customFormat="false" ht="15" hidden="false" customHeight="false" outlineLevel="0" collapsed="false">
      <c r="A175" s="9" t="str">
        <f aca="false">Raw_Data!A177</f>
        <v>ORD1036</v>
      </c>
      <c r="B175" s="10" t="n">
        <f aca="false">IF(ISNUMBER(Raw_Data!B177),Raw_Data!B177,DATE(VALUE(RIGHT(Raw_Data!B177,4)),VALUE(MID(Raw_Data!B177,4,2)),VALUE(LEFT(Raw_Data!B177,2))))</f>
        <v>46257</v>
      </c>
      <c r="C175" s="9" t="str">
        <f aca="false">IFERROR(INDEX($T$10:$T$11,MATCH(PROPER(TRIM(Raw_Data!C177)),$S$10:$S$11,0)),PROPER(TRIM(Raw_Data!C177)))</f>
        <v>Koramangala</v>
      </c>
      <c r="D175" s="9" t="str">
        <f aca="false">PROPER(TRIM(Raw_Data!D177))</f>
        <v>Nachos</v>
      </c>
      <c r="E175" s="9" t="str">
        <f aca="false">IFERROR(INDEX($T$6:$T$7,MATCH(PROPER(TRIM(Raw_Data!E177)),$S$6:$S$7,0)),PROPER(TRIM(Raw_Data!E177)))</f>
        <v>Snacks</v>
      </c>
      <c r="F175" s="9" t="n">
        <f aca="false">IF(TRIM(Raw_Data!F177&amp;"")="",1,VALUE(Raw_Data!F177))</f>
        <v>2</v>
      </c>
      <c r="G175" s="13" t="n">
        <f aca="false">VALUE(Raw_Data!G177)</f>
        <v>170</v>
      </c>
      <c r="H175" s="13" t="n">
        <f aca="false">F175*G175</f>
        <v>340</v>
      </c>
      <c r="I175" s="13" t="n">
        <f aca="false">VALUE(Raw_Data!H177)</f>
        <v>149</v>
      </c>
      <c r="J175" s="13" t="n">
        <f aca="false">H175-I175</f>
        <v>191</v>
      </c>
      <c r="K175" s="14" t="n">
        <f aca="false">IFERROR(J175/H175,0)</f>
        <v>0.561764705882353</v>
      </c>
      <c r="L175" s="9" t="str">
        <f aca="false">TEXT(B175,"MMM-YYYY")</f>
        <v>Aug-2026</v>
      </c>
      <c r="M175" s="9" t="n">
        <f aca="false">YEAR(B175)</f>
        <v>2026</v>
      </c>
      <c r="N175" s="9" t="str">
        <f aca="false">IF(TRIM(Raw_Data!I177&amp;"")="","Not Specified",TRIM(Raw_Data!I177))</f>
        <v>Card</v>
      </c>
      <c r="O175" s="9" t="str">
        <f aca="false">PROPER(TRIM(Raw_Data!J177))</f>
        <v>Completed</v>
      </c>
      <c r="P175" s="9" t="str">
        <f aca="false">IF(O175="Completed","Completed","Not Completed")</f>
        <v>Completed</v>
      </c>
    </row>
    <row r="176" customFormat="false" ht="15" hidden="false" customHeight="false" outlineLevel="0" collapsed="false">
      <c r="A176" s="9" t="str">
        <f aca="false">Raw_Data!A178</f>
        <v>ORD1081</v>
      </c>
      <c r="B176" s="10" t="n">
        <f aca="false">IF(ISNUMBER(Raw_Data!B178),Raw_Data!B178,DATE(VALUE(RIGHT(Raw_Data!B178,4)),VALUE(MID(Raw_Data!B178,4,2)),VALUE(LEFT(Raw_Data!B178,2))))</f>
        <v>46192</v>
      </c>
      <c r="C176" s="9" t="str">
        <f aca="false">IFERROR(INDEX($T$10:$T$11,MATCH(PROPER(TRIM(Raw_Data!C178)),$S$10:$S$11,0)),PROPER(TRIM(Raw_Data!C178)))</f>
        <v>Whitefield</v>
      </c>
      <c r="D176" s="9" t="str">
        <f aca="false">PROPER(TRIM(Raw_Data!D178))</f>
        <v>Brownie</v>
      </c>
      <c r="E176" s="9" t="str">
        <f aca="false">IFERROR(INDEX($T$6:$T$7,MATCH(PROPER(TRIM(Raw_Data!E178)),$S$6:$S$7,0)),PROPER(TRIM(Raw_Data!E178)))</f>
        <v>Bakery</v>
      </c>
      <c r="F176" s="9" t="n">
        <f aca="false">IF(TRIM(Raw_Data!F178&amp;"")="",1,VALUE(Raw_Data!F178))</f>
        <v>1</v>
      </c>
      <c r="G176" s="13" t="n">
        <f aca="false">VALUE(Raw_Data!G178)</f>
        <v>150</v>
      </c>
      <c r="H176" s="13" t="n">
        <f aca="false">F176*G176</f>
        <v>150</v>
      </c>
      <c r="I176" s="13" t="n">
        <f aca="false">VALUE(Raw_Data!H178)</f>
        <v>75</v>
      </c>
      <c r="J176" s="13" t="n">
        <f aca="false">H176-I176</f>
        <v>75</v>
      </c>
      <c r="K176" s="14" t="n">
        <f aca="false">IFERROR(J176/H176,0)</f>
        <v>0.5</v>
      </c>
      <c r="L176" s="9" t="str">
        <f aca="false">TEXT(B176,"MMM-YYYY")</f>
        <v>Jun-2026</v>
      </c>
      <c r="M176" s="9" t="n">
        <f aca="false">YEAR(B176)</f>
        <v>2026</v>
      </c>
      <c r="N176" s="9" t="str">
        <f aca="false">IF(TRIM(Raw_Data!I178&amp;"")="","Not Specified",TRIM(Raw_Data!I178))</f>
        <v>UPI</v>
      </c>
      <c r="O176" s="9" t="str">
        <f aca="false">PROPER(TRIM(Raw_Data!J178))</f>
        <v>Cancelled</v>
      </c>
      <c r="P176" s="9" t="str">
        <f aca="false">IF(O176="Completed","Completed","Not Completed")</f>
        <v>Not Completed</v>
      </c>
    </row>
    <row r="177" customFormat="false" ht="15" hidden="false" customHeight="false" outlineLevel="0" collapsed="false">
      <c r="A177" s="9" t="str">
        <f aca="false">Raw_Data!A179</f>
        <v>ORD1006</v>
      </c>
      <c r="B177" s="10" t="n">
        <f aca="false">IF(ISNUMBER(Raw_Data!B179),Raw_Data!B179,DATE(VALUE(RIGHT(Raw_Data!B179,4)),VALUE(MID(Raw_Data!B179,4,2)),VALUE(LEFT(Raw_Data!B179,2))))</f>
        <v>46265</v>
      </c>
      <c r="C177" s="9" t="str">
        <f aca="false">IFERROR(INDEX($T$10:$T$11,MATCH(PROPER(TRIM(Raw_Data!C179)),$S$10:$S$11,0)),PROPER(TRIM(Raw_Data!C179)))</f>
        <v>Koramangala</v>
      </c>
      <c r="D177" s="9" t="str">
        <f aca="false">PROPER(TRIM(Raw_Data!D179))</f>
        <v>Latte</v>
      </c>
      <c r="E177" s="9" t="str">
        <f aca="false">IFERROR(INDEX($T$6:$T$7,MATCH(PROPER(TRIM(Raw_Data!E179)),$S$6:$S$7,0)),PROPER(TRIM(Raw_Data!E179)))</f>
        <v>Hot Beverages</v>
      </c>
      <c r="F177" s="9" t="n">
        <f aca="false">IF(TRIM(Raw_Data!F179&amp;"")="",1,VALUE(Raw_Data!F179))</f>
        <v>2</v>
      </c>
      <c r="G177" s="13" t="n">
        <f aca="false">VALUE(Raw_Data!G179)</f>
        <v>190</v>
      </c>
      <c r="H177" s="13" t="n">
        <f aca="false">F177*G177</f>
        <v>380</v>
      </c>
      <c r="I177" s="13" t="n">
        <f aca="false">VALUE(Raw_Data!H179)</f>
        <v>152</v>
      </c>
      <c r="J177" s="13" t="n">
        <f aca="false">H177-I177</f>
        <v>228</v>
      </c>
      <c r="K177" s="14" t="n">
        <f aca="false">IFERROR(J177/H177,0)</f>
        <v>0.6</v>
      </c>
      <c r="L177" s="9" t="str">
        <f aca="false">TEXT(B177,"MMM-YYYY")</f>
        <v>Aug-2026</v>
      </c>
      <c r="M177" s="9" t="n">
        <f aca="false">YEAR(B177)</f>
        <v>2026</v>
      </c>
      <c r="N177" s="9" t="str">
        <f aca="false">IF(TRIM(Raw_Data!I179&amp;"")="","Not Specified",TRIM(Raw_Data!I179))</f>
        <v>UPI</v>
      </c>
      <c r="O177" s="9" t="str">
        <f aca="false">PROPER(TRIM(Raw_Data!J179))</f>
        <v>Completed</v>
      </c>
      <c r="P177" s="9" t="str">
        <f aca="false">IF(O177="Completed","Completed","Not Completed")</f>
        <v>Completed</v>
      </c>
    </row>
    <row r="178" customFormat="false" ht="15" hidden="false" customHeight="false" outlineLevel="0" collapsed="false">
      <c r="A178" s="9" t="str">
        <f aca="false">Raw_Data!A180</f>
        <v>ORD1054</v>
      </c>
      <c r="B178" s="10" t="n">
        <f aca="false">IF(ISNUMBER(Raw_Data!B180),Raw_Data!B180,DATE(VALUE(RIGHT(Raw_Data!B180,4)),VALUE(MID(Raw_Data!B180,4,2)),VALUE(LEFT(Raw_Data!B180,2))))</f>
        <v>46207</v>
      </c>
      <c r="C178" s="9" t="str">
        <f aca="false">IFERROR(INDEX($T$10:$T$11,MATCH(PROPER(TRIM(Raw_Data!C180)),$S$10:$S$11,0)),PROPER(TRIM(Raw_Data!C180)))</f>
        <v>Koramangala</v>
      </c>
      <c r="D178" s="9" t="str">
        <f aca="false">PROPER(TRIM(Raw_Data!D180))</f>
        <v>Frappe</v>
      </c>
      <c r="E178" s="9" t="str">
        <f aca="false">IFERROR(INDEX($T$6:$T$7,MATCH(PROPER(TRIM(Raw_Data!E180)),$S$6:$S$7,0)),PROPER(TRIM(Raw_Data!E180)))</f>
        <v>Cold Beverages</v>
      </c>
      <c r="F178" s="9" t="n">
        <f aca="false">IF(TRIM(Raw_Data!F180&amp;"")="",1,VALUE(Raw_Data!F180))</f>
        <v>1</v>
      </c>
      <c r="G178" s="13" t="n">
        <f aca="false">VALUE(Raw_Data!G180)</f>
        <v>240</v>
      </c>
      <c r="H178" s="13" t="n">
        <f aca="false">F178*G178</f>
        <v>240</v>
      </c>
      <c r="I178" s="13" t="n">
        <f aca="false">VALUE(Raw_Data!H180)</f>
        <v>112</v>
      </c>
      <c r="J178" s="13" t="n">
        <f aca="false">H178-I178</f>
        <v>128</v>
      </c>
      <c r="K178" s="14" t="n">
        <f aca="false">IFERROR(J178/H178,0)</f>
        <v>0.533333333333333</v>
      </c>
      <c r="L178" s="9" t="str">
        <f aca="false">TEXT(B178,"MMM-YYYY")</f>
        <v>Jul-2026</v>
      </c>
      <c r="M178" s="9" t="n">
        <f aca="false">YEAR(B178)</f>
        <v>2026</v>
      </c>
      <c r="N178" s="9" t="str">
        <f aca="false">IF(TRIM(Raw_Data!I180&amp;"")="","Not Specified",TRIM(Raw_Data!I180))</f>
        <v>UPI</v>
      </c>
      <c r="O178" s="9" t="str">
        <f aca="false">PROPER(TRIM(Raw_Data!J180))</f>
        <v>Completed</v>
      </c>
      <c r="P178" s="9" t="str">
        <f aca="false">IF(O178="Completed","Completed","Not Completed")</f>
        <v>Completed</v>
      </c>
    </row>
    <row r="179" customFormat="false" ht="15" hidden="false" customHeight="false" outlineLevel="0" collapsed="false">
      <c r="A179" s="9" t="str">
        <f aca="false">Raw_Data!A181</f>
        <v>ORD1187</v>
      </c>
      <c r="B179" s="10" t="n">
        <f aca="false">IF(ISNUMBER(Raw_Data!B181),Raw_Data!B181,DATE(VALUE(RIGHT(Raw_Data!B181,4)),VALUE(MID(Raw_Data!B181,4,2)),VALUE(LEFT(Raw_Data!B181,2))))</f>
        <v>46177</v>
      </c>
      <c r="C179" s="9" t="str">
        <f aca="false">IFERROR(INDEX($T$10:$T$11,MATCH(PROPER(TRIM(Raw_Data!C181)),$S$10:$S$11,0)),PROPER(TRIM(Raw_Data!C181)))</f>
        <v>HSR Layout</v>
      </c>
      <c r="D179" s="9" t="str">
        <f aca="false">PROPER(TRIM(Raw_Data!D181))</f>
        <v>Cappuccino</v>
      </c>
      <c r="E179" s="9" t="str">
        <f aca="false">IFERROR(INDEX($T$6:$T$7,MATCH(PROPER(TRIM(Raw_Data!E181)),$S$6:$S$7,0)),PROPER(TRIM(Raw_Data!E181)))</f>
        <v>Hot Beverages</v>
      </c>
      <c r="F179" s="9" t="n">
        <f aca="false">IF(TRIM(Raw_Data!F181&amp;"")="",1,VALUE(Raw_Data!F181))</f>
        <v>1</v>
      </c>
      <c r="G179" s="13" t="n">
        <f aca="false">VALUE(Raw_Data!G181)</f>
        <v>180</v>
      </c>
      <c r="H179" s="13" t="n">
        <f aca="false">F179*G179</f>
        <v>180</v>
      </c>
      <c r="I179" s="13" t="n">
        <f aca="false">VALUE(Raw_Data!H181)</f>
        <v>77</v>
      </c>
      <c r="J179" s="13" t="n">
        <f aca="false">H179-I179</f>
        <v>103</v>
      </c>
      <c r="K179" s="14" t="n">
        <f aca="false">IFERROR(J179/H179,0)</f>
        <v>0.572222222222222</v>
      </c>
      <c r="L179" s="9" t="str">
        <f aca="false">TEXT(B179,"MMM-YYYY")</f>
        <v>Jun-2026</v>
      </c>
      <c r="M179" s="9" t="n">
        <f aca="false">YEAR(B179)</f>
        <v>2026</v>
      </c>
      <c r="N179" s="9" t="str">
        <f aca="false">IF(TRIM(Raw_Data!I181&amp;"")="","Not Specified",TRIM(Raw_Data!I181))</f>
        <v>UPI</v>
      </c>
      <c r="O179" s="9" t="str">
        <f aca="false">PROPER(TRIM(Raw_Data!J181))</f>
        <v>Completed</v>
      </c>
      <c r="P179" s="9" t="str">
        <f aca="false">IF(O179="Completed","Completed","Not Completed")</f>
        <v>Completed</v>
      </c>
    </row>
    <row r="180" customFormat="false" ht="15" hidden="false" customHeight="false" outlineLevel="0" collapsed="false">
      <c r="A180" s="9" t="str">
        <f aca="false">Raw_Data!A182</f>
        <v>ORD1051</v>
      </c>
      <c r="B180" s="10" t="n">
        <f aca="false">IF(ISNUMBER(Raw_Data!B182),Raw_Data!B182,DATE(VALUE(RIGHT(Raw_Data!B182,4)),VALUE(MID(Raw_Data!B182,4,2)),VALUE(LEFT(Raw_Data!B182,2))))</f>
        <v>46197</v>
      </c>
      <c r="C180" s="9" t="str">
        <f aca="false">IFERROR(INDEX($T$10:$T$11,MATCH(PROPER(TRIM(Raw_Data!C182)),$S$10:$S$11,0)),PROPER(TRIM(Raw_Data!C182)))</f>
        <v>Whitefield</v>
      </c>
      <c r="D180" s="9" t="str">
        <f aca="false">PROPER(TRIM(Raw_Data!D182))</f>
        <v>Hot Chocolate</v>
      </c>
      <c r="E180" s="9" t="str">
        <f aca="false">IFERROR(INDEX($T$6:$T$7,MATCH(PROPER(TRIM(Raw_Data!E182)),$S$6:$S$7,0)),PROPER(TRIM(Raw_Data!E182)))</f>
        <v>Hot Beverages</v>
      </c>
      <c r="F180" s="9" t="n">
        <f aca="false">IF(TRIM(Raw_Data!F182&amp;"")="",1,VALUE(Raw_Data!F182))</f>
        <v>3</v>
      </c>
      <c r="G180" s="13" t="n">
        <f aca="false">VALUE(Raw_Data!G182)</f>
        <v>170</v>
      </c>
      <c r="H180" s="13" t="n">
        <f aca="false">F180*G180</f>
        <v>510</v>
      </c>
      <c r="I180" s="13" t="n">
        <f aca="false">VALUE(Raw_Data!H182)</f>
        <v>222</v>
      </c>
      <c r="J180" s="13" t="n">
        <f aca="false">H180-I180</f>
        <v>288</v>
      </c>
      <c r="K180" s="14" t="n">
        <f aca="false">IFERROR(J180/H180,0)</f>
        <v>0.564705882352941</v>
      </c>
      <c r="L180" s="9" t="str">
        <f aca="false">TEXT(B180,"MMM-YYYY")</f>
        <v>Jun-2026</v>
      </c>
      <c r="M180" s="9" t="n">
        <f aca="false">YEAR(B180)</f>
        <v>2026</v>
      </c>
      <c r="N180" s="9" t="str">
        <f aca="false">IF(TRIM(Raw_Data!I182&amp;"")="","Not Specified",TRIM(Raw_Data!I182))</f>
        <v>Cash</v>
      </c>
      <c r="O180" s="9" t="str">
        <f aca="false">PROPER(TRIM(Raw_Data!J182))</f>
        <v>Cancelled</v>
      </c>
      <c r="P180" s="9" t="str">
        <f aca="false">IF(O180="Completed","Completed","Not Completed")</f>
        <v>Not Completed</v>
      </c>
    </row>
    <row r="181" customFormat="false" ht="15" hidden="false" customHeight="false" outlineLevel="0" collapsed="false">
      <c r="A181" s="9" t="str">
        <f aca="false">Raw_Data!A183</f>
        <v>ORD1019</v>
      </c>
      <c r="B181" s="10" t="n">
        <f aca="false">IF(ISNUMBER(Raw_Data!B183),Raw_Data!B183,DATE(VALUE(RIGHT(Raw_Data!B183,4)),VALUE(MID(Raw_Data!B183,4,2)),VALUE(LEFT(Raw_Data!B183,2))))</f>
        <v>46224</v>
      </c>
      <c r="C181" s="9" t="str">
        <f aca="false">IFERROR(INDEX($T$10:$T$11,MATCH(PROPER(TRIM(Raw_Data!C183)),$S$10:$S$11,0)),PROPER(TRIM(Raw_Data!C183)))</f>
        <v>HSR Layout</v>
      </c>
      <c r="D181" s="9" t="str">
        <f aca="false">PROPER(TRIM(Raw_Data!D183))</f>
        <v>Danish Pastry</v>
      </c>
      <c r="E181" s="9" t="str">
        <f aca="false">IFERROR(INDEX($T$6:$T$7,MATCH(PROPER(TRIM(Raw_Data!E183)),$S$6:$S$7,0)),PROPER(TRIM(Raw_Data!E183)))</f>
        <v>Bakery</v>
      </c>
      <c r="F181" s="9" t="n">
        <f aca="false">IF(TRIM(Raw_Data!F183&amp;"")="",1,VALUE(Raw_Data!F183))</f>
        <v>1</v>
      </c>
      <c r="G181" s="13" t="n">
        <f aca="false">VALUE(Raw_Data!G183)</f>
        <v>160</v>
      </c>
      <c r="H181" s="13" t="n">
        <f aca="false">F181*G181</f>
        <v>160</v>
      </c>
      <c r="I181" s="13" t="n">
        <f aca="false">VALUE(Raw_Data!H183)</f>
        <v>73</v>
      </c>
      <c r="J181" s="13" t="n">
        <f aca="false">H181-I181</f>
        <v>87</v>
      </c>
      <c r="K181" s="14" t="n">
        <f aca="false">IFERROR(J181/H181,0)</f>
        <v>0.54375</v>
      </c>
      <c r="L181" s="9" t="str">
        <f aca="false">TEXT(B181,"MMM-YYYY")</f>
        <v>Jul-2026</v>
      </c>
      <c r="M181" s="9" t="n">
        <f aca="false">YEAR(B181)</f>
        <v>2026</v>
      </c>
      <c r="N181" s="9" t="str">
        <f aca="false">IF(TRIM(Raw_Data!I183&amp;"")="","Not Specified",TRIM(Raw_Data!I183))</f>
        <v>UPI</v>
      </c>
      <c r="O181" s="9" t="str">
        <f aca="false">PROPER(TRIM(Raw_Data!J183))</f>
        <v>Completed</v>
      </c>
      <c r="P181" s="9" t="str">
        <f aca="false">IF(O181="Completed","Completed","Not Completed")</f>
        <v>Completed</v>
      </c>
    </row>
    <row r="182" customFormat="false" ht="15" hidden="false" customHeight="false" outlineLevel="0" collapsed="false">
      <c r="A182" s="9" t="str">
        <f aca="false">Raw_Data!A184</f>
        <v>ORD1134</v>
      </c>
      <c r="B182" s="10" t="n">
        <f aca="false">IF(ISNUMBER(Raw_Data!B184),Raw_Data!B184,DATE(VALUE(RIGHT(Raw_Data!B184,4)),VALUE(MID(Raw_Data!B184,4,2)),VALUE(LEFT(Raw_Data!B184,2))))</f>
        <v>46259</v>
      </c>
      <c r="C182" s="9" t="str">
        <f aca="false">IFERROR(INDEX($T$10:$T$11,MATCH(PROPER(TRIM(Raw_Data!C184)),$S$10:$S$11,0)),PROPER(TRIM(Raw_Data!C184)))</f>
        <v>Koramangala</v>
      </c>
      <c r="D182" s="9" t="str">
        <f aca="false">PROPER(TRIM(Raw_Data!D184))</f>
        <v>Filter Coffee</v>
      </c>
      <c r="E182" s="9" t="str">
        <f aca="false">IFERROR(INDEX($T$6:$T$7,MATCH(PROPER(TRIM(Raw_Data!E184)),$S$6:$S$7,0)),PROPER(TRIM(Raw_Data!E184)))</f>
        <v>Hot Beverages</v>
      </c>
      <c r="F182" s="9" t="n">
        <f aca="false">IF(TRIM(Raw_Data!F184&amp;"")="",1,VALUE(Raw_Data!F184))</f>
        <v>2</v>
      </c>
      <c r="G182" s="13" t="n">
        <f aca="false">VALUE(Raw_Data!G184)</f>
        <v>120</v>
      </c>
      <c r="H182" s="13" t="n">
        <f aca="false">F182*G182</f>
        <v>240</v>
      </c>
      <c r="I182" s="13" t="n">
        <f aca="false">VALUE(Raw_Data!H184)</f>
        <v>101</v>
      </c>
      <c r="J182" s="13" t="n">
        <f aca="false">H182-I182</f>
        <v>139</v>
      </c>
      <c r="K182" s="14" t="n">
        <f aca="false">IFERROR(J182/H182,0)</f>
        <v>0.579166666666667</v>
      </c>
      <c r="L182" s="9" t="str">
        <f aca="false">TEXT(B182,"MMM-YYYY")</f>
        <v>Aug-2026</v>
      </c>
      <c r="M182" s="9" t="n">
        <f aca="false">YEAR(B182)</f>
        <v>2026</v>
      </c>
      <c r="N182" s="9" t="str">
        <f aca="false">IF(TRIM(Raw_Data!I184&amp;"")="","Not Specified",TRIM(Raw_Data!I184))</f>
        <v>UPI</v>
      </c>
      <c r="O182" s="9" t="str">
        <f aca="false">PROPER(TRIM(Raw_Data!J184))</f>
        <v>Completed</v>
      </c>
      <c r="P182" s="9" t="str">
        <f aca="false">IF(O182="Completed","Completed","Not Completed")</f>
        <v>Completed</v>
      </c>
    </row>
    <row r="183" customFormat="false" ht="15" hidden="false" customHeight="false" outlineLevel="0" collapsed="false">
      <c r="A183" s="9" t="str">
        <f aca="false">Raw_Data!A185</f>
        <v>ORD1170</v>
      </c>
      <c r="B183" s="10" t="n">
        <f aca="false">IF(ISNUMBER(Raw_Data!B185),Raw_Data!B185,DATE(VALUE(RIGHT(Raw_Data!B185,4)),VALUE(MID(Raw_Data!B185,4,2)),VALUE(LEFT(Raw_Data!B185,2))))</f>
        <v>46187</v>
      </c>
      <c r="C183" s="9" t="str">
        <f aca="false">IFERROR(INDEX($T$10:$T$11,MATCH(PROPER(TRIM(Raw_Data!C185)),$S$10:$S$11,0)),PROPER(TRIM(Raw_Data!C185)))</f>
        <v>Koramangala</v>
      </c>
      <c r="D183" s="9" t="str">
        <f aca="false">PROPER(TRIM(Raw_Data!D185))</f>
        <v>Iced Latte</v>
      </c>
      <c r="E183" s="9" t="str">
        <f aca="false">IFERROR(INDEX($T$6:$T$7,MATCH(PROPER(TRIM(Raw_Data!E185)),$S$6:$S$7,0)),PROPER(TRIM(Raw_Data!E185)))</f>
        <v>Cold Beverages</v>
      </c>
      <c r="F183" s="9" t="n">
        <f aca="false">IF(TRIM(Raw_Data!F185&amp;"")="",1,VALUE(Raw_Data!F185))</f>
        <v>1</v>
      </c>
      <c r="G183" s="13" t="n">
        <f aca="false">VALUE(Raw_Data!G185)</f>
        <v>200</v>
      </c>
      <c r="H183" s="13" t="n">
        <f aca="false">F183*G183</f>
        <v>200</v>
      </c>
      <c r="I183" s="13" t="n">
        <f aca="false">VALUE(Raw_Data!H185)</f>
        <v>80</v>
      </c>
      <c r="J183" s="13" t="n">
        <f aca="false">H183-I183</f>
        <v>120</v>
      </c>
      <c r="K183" s="14" t="n">
        <f aca="false">IFERROR(J183/H183,0)</f>
        <v>0.6</v>
      </c>
      <c r="L183" s="9" t="str">
        <f aca="false">TEXT(B183,"MMM-YYYY")</f>
        <v>Jun-2026</v>
      </c>
      <c r="M183" s="9" t="n">
        <f aca="false">YEAR(B183)</f>
        <v>2026</v>
      </c>
      <c r="N183" s="9" t="str">
        <f aca="false">IF(TRIM(Raw_Data!I185&amp;"")="","Not Specified",TRIM(Raw_Data!I185))</f>
        <v>Cash</v>
      </c>
      <c r="O183" s="9" t="str">
        <f aca="false">PROPER(TRIM(Raw_Data!J185))</f>
        <v>Completed</v>
      </c>
      <c r="P183" s="9" t="str">
        <f aca="false">IF(O183="Completed","Completed","Not Completed")</f>
        <v>Completed</v>
      </c>
    </row>
    <row r="184" customFormat="false" ht="15" hidden="false" customHeight="false" outlineLevel="0" collapsed="false">
      <c r="A184" s="9" t="str">
        <f aca="false">Raw_Data!A186</f>
        <v>ORD1120</v>
      </c>
      <c r="B184" s="10" t="n">
        <f aca="false">IF(ISNUMBER(Raw_Data!B186),Raw_Data!B186,DATE(VALUE(RIGHT(Raw_Data!B186,4)),VALUE(MID(Raw_Data!B186,4,2)),VALUE(LEFT(Raw_Data!B186,2))))</f>
        <v>46265</v>
      </c>
      <c r="C184" s="9" t="str">
        <f aca="false">IFERROR(INDEX($T$10:$T$11,MATCH(PROPER(TRIM(Raw_Data!C186)),$S$10:$S$11,0)),PROPER(TRIM(Raw_Data!C186)))</f>
        <v>Whitefield</v>
      </c>
      <c r="D184" s="9" t="str">
        <f aca="false">PROPER(TRIM(Raw_Data!D186))</f>
        <v>Iced Tea</v>
      </c>
      <c r="E184" s="9" t="str">
        <f aca="false">IFERROR(INDEX($T$6:$T$7,MATCH(PROPER(TRIM(Raw_Data!E186)),$S$6:$S$7,0)),PROPER(TRIM(Raw_Data!E186)))</f>
        <v>Cold Beverages</v>
      </c>
      <c r="F184" s="9" t="n">
        <f aca="false">IF(TRIM(Raw_Data!F186&amp;"")="",1,VALUE(Raw_Data!F186))</f>
        <v>1</v>
      </c>
      <c r="G184" s="13" t="n">
        <f aca="false">VALUE(Raw_Data!G186)</f>
        <v>150</v>
      </c>
      <c r="H184" s="13" t="n">
        <f aca="false">F184*G184</f>
        <v>150</v>
      </c>
      <c r="I184" s="13" t="n">
        <f aca="false">VALUE(Raw_Data!H186)</f>
        <v>68</v>
      </c>
      <c r="J184" s="13" t="n">
        <f aca="false">H184-I184</f>
        <v>82</v>
      </c>
      <c r="K184" s="14" t="n">
        <f aca="false">IFERROR(J184/H184,0)</f>
        <v>0.546666666666667</v>
      </c>
      <c r="L184" s="9" t="str">
        <f aca="false">TEXT(B184,"MMM-YYYY")</f>
        <v>Aug-2026</v>
      </c>
      <c r="M184" s="9" t="n">
        <f aca="false">YEAR(B184)</f>
        <v>2026</v>
      </c>
      <c r="N184" s="9" t="str">
        <f aca="false">IF(TRIM(Raw_Data!I186&amp;"")="","Not Specified",TRIM(Raw_Data!I186))</f>
        <v>Cash</v>
      </c>
      <c r="O184" s="9" t="str">
        <f aca="false">PROPER(TRIM(Raw_Data!J186))</f>
        <v>Completed</v>
      </c>
      <c r="P184" s="9" t="str">
        <f aca="false">IF(O184="Completed","Completed","Not Completed")</f>
        <v>Completed</v>
      </c>
    </row>
    <row r="185" customFormat="false" ht="15" hidden="false" customHeight="false" outlineLevel="0" collapsed="false">
      <c r="A185" s="9" t="str">
        <f aca="false">Raw_Data!A187</f>
        <v>ORD1149</v>
      </c>
      <c r="B185" s="10" t="n">
        <f aca="false">IF(ISNUMBER(Raw_Data!B187),Raw_Data!B187,DATE(VALUE(RIGHT(Raw_Data!B187,4)),VALUE(MID(Raw_Data!B187,4,2)),VALUE(LEFT(Raw_Data!B187,2))))</f>
        <v>46254</v>
      </c>
      <c r="C185" s="9" t="str">
        <f aca="false">IFERROR(INDEX($T$10:$T$11,MATCH(PROPER(TRIM(Raw_Data!C187)),$S$10:$S$11,0)),PROPER(TRIM(Raw_Data!C187)))</f>
        <v>Whitefield</v>
      </c>
      <c r="D185" s="9" t="str">
        <f aca="false">PROPER(TRIM(Raw_Data!D187))</f>
        <v>Sandwich</v>
      </c>
      <c r="E185" s="9" t="str">
        <f aca="false">IFERROR(INDEX($T$6:$T$7,MATCH(PROPER(TRIM(Raw_Data!E187)),$S$6:$S$7,0)),PROPER(TRIM(Raw_Data!E187)))</f>
        <v>Snacks</v>
      </c>
      <c r="F185" s="9" t="n">
        <f aca="false">IF(TRIM(Raw_Data!F187&amp;"")="",1,VALUE(Raw_Data!F187))</f>
        <v>1</v>
      </c>
      <c r="G185" s="13" t="n">
        <f aca="false">VALUE(Raw_Data!G187)</f>
        <v>190</v>
      </c>
      <c r="H185" s="13" t="n">
        <f aca="false">F185*G185</f>
        <v>190</v>
      </c>
      <c r="I185" s="13" t="n">
        <f aca="false">VALUE(Raw_Data!H187)</f>
        <v>86</v>
      </c>
      <c r="J185" s="13" t="n">
        <f aca="false">H185-I185</f>
        <v>104</v>
      </c>
      <c r="K185" s="14" t="n">
        <f aca="false">IFERROR(J185/H185,0)</f>
        <v>0.547368421052632</v>
      </c>
      <c r="L185" s="9" t="str">
        <f aca="false">TEXT(B185,"MMM-YYYY")</f>
        <v>Aug-2026</v>
      </c>
      <c r="M185" s="9" t="n">
        <f aca="false">YEAR(B185)</f>
        <v>2026</v>
      </c>
      <c r="N185" s="9" t="str">
        <f aca="false">IF(TRIM(Raw_Data!I187&amp;"")="","Not Specified",TRIM(Raw_Data!I187))</f>
        <v>UPI</v>
      </c>
      <c r="O185" s="9" t="str">
        <f aca="false">PROPER(TRIM(Raw_Data!J187))</f>
        <v>Completed</v>
      </c>
      <c r="P185" s="9" t="str">
        <f aca="false">IF(O185="Completed","Completed","Not Completed")</f>
        <v>Completed</v>
      </c>
    </row>
    <row r="186" customFormat="false" ht="15" hidden="false" customHeight="false" outlineLevel="0" collapsed="false">
      <c r="A186" s="9" t="str">
        <f aca="false">Raw_Data!A188</f>
        <v>ORD1060</v>
      </c>
      <c r="B186" s="10" t="n">
        <f aca="false">IF(ISNUMBER(Raw_Data!B188),Raw_Data!B188,DATE(VALUE(RIGHT(Raw_Data!B188,4)),VALUE(MID(Raw_Data!B188,4,2)),VALUE(LEFT(Raw_Data!B188,2))))</f>
        <v>46224</v>
      </c>
      <c r="C186" s="9" t="str">
        <f aca="false">IFERROR(INDEX($T$10:$T$11,MATCH(PROPER(TRIM(Raw_Data!C188)),$S$10:$S$11,0)),PROPER(TRIM(Raw_Data!C188)))</f>
        <v>Whitefield</v>
      </c>
      <c r="D186" s="9" t="str">
        <f aca="false">PROPER(TRIM(Raw_Data!D188))</f>
        <v>Iced Latte</v>
      </c>
      <c r="E186" s="9" t="str">
        <f aca="false">IFERROR(INDEX($T$6:$T$7,MATCH(PROPER(TRIM(Raw_Data!E188)),$S$6:$S$7,0)),PROPER(TRIM(Raw_Data!E188)))</f>
        <v>Cold Beverages</v>
      </c>
      <c r="F186" s="9" t="n">
        <f aca="false">IF(TRIM(Raw_Data!F188&amp;"")="",1,VALUE(Raw_Data!F188))</f>
        <v>4</v>
      </c>
      <c r="G186" s="13" t="n">
        <f aca="false">VALUE(Raw_Data!G188)</f>
        <v>200</v>
      </c>
      <c r="H186" s="13" t="n">
        <f aca="false">F186*G186</f>
        <v>800</v>
      </c>
      <c r="I186" s="13" t="n">
        <f aca="false">VALUE(Raw_Data!H188)</f>
        <v>331</v>
      </c>
      <c r="J186" s="13" t="n">
        <f aca="false">H186-I186</f>
        <v>469</v>
      </c>
      <c r="K186" s="14" t="n">
        <f aca="false">IFERROR(J186/H186,0)</f>
        <v>0.58625</v>
      </c>
      <c r="L186" s="9" t="str">
        <f aca="false">TEXT(B186,"MMM-YYYY")</f>
        <v>Jul-2026</v>
      </c>
      <c r="M186" s="9" t="n">
        <f aca="false">YEAR(B186)</f>
        <v>2026</v>
      </c>
      <c r="N186" s="9" t="str">
        <f aca="false">IF(TRIM(Raw_Data!I188&amp;"")="","Not Specified",TRIM(Raw_Data!I188))</f>
        <v>Card</v>
      </c>
      <c r="O186" s="9" t="str">
        <f aca="false">PROPER(TRIM(Raw_Data!J188))</f>
        <v>Completed</v>
      </c>
      <c r="P186" s="9" t="str">
        <f aca="false">IF(O186="Completed","Completed","Not Completed")</f>
        <v>Completed</v>
      </c>
    </row>
    <row r="187" customFormat="false" ht="15" hidden="false" customHeight="false" outlineLevel="0" collapsed="false">
      <c r="A187" s="9" t="str">
        <f aca="false">Raw_Data!A189</f>
        <v>ORD1085</v>
      </c>
      <c r="B187" s="10" t="n">
        <f aca="false">IF(ISNUMBER(Raw_Data!B189),Raw_Data!B189,DATE(VALUE(RIGHT(Raw_Data!B189,4)),VALUE(MID(Raw_Data!B189,4,2)),VALUE(LEFT(Raw_Data!B189,2))))</f>
        <v>46265</v>
      </c>
      <c r="C187" s="9" t="str">
        <f aca="false">IFERROR(INDEX($T$10:$T$11,MATCH(PROPER(TRIM(Raw_Data!C189)),$S$10:$S$11,0)),PROPER(TRIM(Raw_Data!C189)))</f>
        <v>Koramangala</v>
      </c>
      <c r="D187" s="9" t="str">
        <f aca="false">PROPER(TRIM(Raw_Data!D189))</f>
        <v>Croissant</v>
      </c>
      <c r="E187" s="9" t="str">
        <f aca="false">IFERROR(INDEX($T$6:$T$7,MATCH(PROPER(TRIM(Raw_Data!E189)),$S$6:$S$7,0)),PROPER(TRIM(Raw_Data!E189)))</f>
        <v>Bakery</v>
      </c>
      <c r="F187" s="9" t="n">
        <f aca="false">IF(TRIM(Raw_Data!F189&amp;"")="",1,VALUE(Raw_Data!F189))</f>
        <v>1</v>
      </c>
      <c r="G187" s="13" t="n">
        <f aca="false">VALUE(Raw_Data!G189)</f>
        <v>140</v>
      </c>
      <c r="H187" s="13" t="n">
        <f aca="false">F187*G187</f>
        <v>140</v>
      </c>
      <c r="I187" s="13" t="n">
        <f aca="false">VALUE(Raw_Data!H189)</f>
        <v>57</v>
      </c>
      <c r="J187" s="13" t="n">
        <f aca="false">H187-I187</f>
        <v>83</v>
      </c>
      <c r="K187" s="14" t="n">
        <f aca="false">IFERROR(J187/H187,0)</f>
        <v>0.592857142857143</v>
      </c>
      <c r="L187" s="9" t="str">
        <f aca="false">TEXT(B187,"MMM-YYYY")</f>
        <v>Aug-2026</v>
      </c>
      <c r="M187" s="9" t="n">
        <f aca="false">YEAR(B187)</f>
        <v>2026</v>
      </c>
      <c r="N187" s="9" t="str">
        <f aca="false">IF(TRIM(Raw_Data!I189&amp;"")="","Not Specified",TRIM(Raw_Data!I189))</f>
        <v>UPI</v>
      </c>
      <c r="O187" s="9" t="str">
        <f aca="false">PROPER(TRIM(Raw_Data!J189))</f>
        <v>Completed</v>
      </c>
      <c r="P187" s="9" t="str">
        <f aca="false">IF(O187="Completed","Completed","Not Completed")</f>
        <v>Completed</v>
      </c>
    </row>
    <row r="188" customFormat="false" ht="15" hidden="false" customHeight="false" outlineLevel="0" collapsed="false">
      <c r="A188" s="9" t="str">
        <f aca="false">Raw_Data!A190</f>
        <v>ORD1101</v>
      </c>
      <c r="B188" s="10" t="n">
        <f aca="false">IF(ISNUMBER(Raw_Data!B190),Raw_Data!B190,DATE(VALUE(RIGHT(Raw_Data!B190,4)),VALUE(MID(Raw_Data!B190,4,2)),VALUE(LEFT(Raw_Data!B190,2))))</f>
        <v>46187</v>
      </c>
      <c r="C188" s="9" t="str">
        <f aca="false">IFERROR(INDEX($T$10:$T$11,MATCH(PROPER(TRIM(Raw_Data!C190)),$S$10:$S$11,0)),PROPER(TRIM(Raw_Data!C190)))</f>
        <v>HSR Layout</v>
      </c>
      <c r="D188" s="9" t="str">
        <f aca="false">PROPER(TRIM(Raw_Data!D190))</f>
        <v>Espresso</v>
      </c>
      <c r="E188" s="9" t="str">
        <f aca="false">IFERROR(INDEX($T$6:$T$7,MATCH(PROPER(TRIM(Raw_Data!E190)),$S$6:$S$7,0)),PROPER(TRIM(Raw_Data!E190)))</f>
        <v>Hot Beverages</v>
      </c>
      <c r="F188" s="9" t="n">
        <f aca="false">IF(TRIM(Raw_Data!F190&amp;"")="",1,VALUE(Raw_Data!F190))</f>
        <v>2</v>
      </c>
      <c r="G188" s="13" t="n">
        <f aca="false">VALUE(Raw_Data!G190)</f>
        <v>150</v>
      </c>
      <c r="H188" s="13" t="n">
        <f aca="false">F188*G188</f>
        <v>300</v>
      </c>
      <c r="I188" s="13" t="n">
        <f aca="false">VALUE(Raw_Data!H190)</f>
        <v>106</v>
      </c>
      <c r="J188" s="13" t="n">
        <f aca="false">H188-I188</f>
        <v>194</v>
      </c>
      <c r="K188" s="14" t="n">
        <f aca="false">IFERROR(J188/H188,0)</f>
        <v>0.646666666666667</v>
      </c>
      <c r="L188" s="9" t="str">
        <f aca="false">TEXT(B188,"MMM-YYYY")</f>
        <v>Jun-2026</v>
      </c>
      <c r="M188" s="9" t="n">
        <f aca="false">YEAR(B188)</f>
        <v>2026</v>
      </c>
      <c r="N188" s="9" t="str">
        <f aca="false">IF(TRIM(Raw_Data!I190&amp;"")="","Not Specified",TRIM(Raw_Data!I190))</f>
        <v>Cash</v>
      </c>
      <c r="O188" s="9" t="str">
        <f aca="false">PROPER(TRIM(Raw_Data!J190))</f>
        <v>Completed</v>
      </c>
      <c r="P188" s="9" t="str">
        <f aca="false">IF(O188="Completed","Completed","Not Completed")</f>
        <v>Completed</v>
      </c>
    </row>
    <row r="189" customFormat="false" ht="15" hidden="false" customHeight="false" outlineLevel="0" collapsed="false">
      <c r="A189" s="9" t="str">
        <f aca="false">Raw_Data!A192</f>
        <v>ORD1123</v>
      </c>
      <c r="B189" s="10" t="n">
        <f aca="false">IF(ISNUMBER(Raw_Data!B192),Raw_Data!B192,DATE(VALUE(RIGHT(Raw_Data!B192,4)),VALUE(MID(Raw_Data!B192,4,2)),VALUE(LEFT(Raw_Data!B192,2))))</f>
        <v>46212</v>
      </c>
      <c r="C189" s="9" t="str">
        <f aca="false">IFERROR(INDEX($T$10:$T$11,MATCH(PROPER(TRIM(Raw_Data!C192)),$S$10:$S$11,0)),PROPER(TRIM(Raw_Data!C192)))</f>
        <v>Indiranagar</v>
      </c>
      <c r="D189" s="9" t="str">
        <f aca="false">PROPER(TRIM(Raw_Data!D192))</f>
        <v>Frappe</v>
      </c>
      <c r="E189" s="9" t="str">
        <f aca="false">IFERROR(INDEX($T$6:$T$7,MATCH(PROPER(TRIM(Raw_Data!E192)),$S$6:$S$7,0)),PROPER(TRIM(Raw_Data!E192)))</f>
        <v>Cold Beverages</v>
      </c>
      <c r="F189" s="9" t="n">
        <f aca="false">IF(TRIM(Raw_Data!F192&amp;"")="",1,VALUE(Raw_Data!F192))</f>
        <v>1</v>
      </c>
      <c r="G189" s="13" t="n">
        <f aca="false">VALUE(Raw_Data!G192)</f>
        <v>240</v>
      </c>
      <c r="H189" s="13" t="n">
        <f aca="false">F189*G189</f>
        <v>240</v>
      </c>
      <c r="I189" s="13" t="n">
        <f aca="false">VALUE(Raw_Data!H192)</f>
        <v>99</v>
      </c>
      <c r="J189" s="13" t="n">
        <f aca="false">H189-I189</f>
        <v>141</v>
      </c>
      <c r="K189" s="14" t="n">
        <f aca="false">IFERROR(J189/H189,0)</f>
        <v>0.5875</v>
      </c>
      <c r="L189" s="9" t="str">
        <f aca="false">TEXT(B189,"MMM-YYYY")</f>
        <v>Jul-2026</v>
      </c>
      <c r="M189" s="9" t="n">
        <f aca="false">YEAR(B189)</f>
        <v>2026</v>
      </c>
      <c r="N189" s="9" t="str">
        <f aca="false">IF(TRIM(Raw_Data!I192&amp;"")="","Not Specified",TRIM(Raw_Data!I192))</f>
        <v>UPI</v>
      </c>
      <c r="O189" s="9" t="str">
        <f aca="false">PROPER(TRIM(Raw_Data!J192))</f>
        <v>Completed</v>
      </c>
      <c r="P189" s="9" t="str">
        <f aca="false">IF(O189="Completed","Completed","Not Completed")</f>
        <v>Completed</v>
      </c>
    </row>
    <row r="190" customFormat="false" ht="15" hidden="false" customHeight="false" outlineLevel="0" collapsed="false">
      <c r="A190" s="9" t="str">
        <f aca="false">Raw_Data!A193</f>
        <v>ORD1062</v>
      </c>
      <c r="B190" s="10" t="n">
        <f aca="false">IF(ISNUMBER(Raw_Data!B193),Raw_Data!B193,DATE(VALUE(RIGHT(Raw_Data!B193,4)),VALUE(MID(Raw_Data!B193,4,2)),VALUE(LEFT(Raw_Data!B193,2))))</f>
        <v>46254</v>
      </c>
      <c r="C190" s="9" t="str">
        <f aca="false">IFERROR(INDEX($T$10:$T$11,MATCH(PROPER(TRIM(Raw_Data!C193)),$S$10:$S$11,0)),PROPER(TRIM(Raw_Data!C193)))</f>
        <v>Whitefield</v>
      </c>
      <c r="D190" s="9" t="str">
        <f aca="false">PROPER(TRIM(Raw_Data!D193))</f>
        <v>Sandwich</v>
      </c>
      <c r="E190" s="9" t="str">
        <f aca="false">IFERROR(INDEX($T$6:$T$7,MATCH(PROPER(TRIM(Raw_Data!E193)),$S$6:$S$7,0)),PROPER(TRIM(Raw_Data!E193)))</f>
        <v>Snacks</v>
      </c>
      <c r="F190" s="9" t="n">
        <f aca="false">IF(TRIM(Raw_Data!F193&amp;"")="",1,VALUE(Raw_Data!F193))</f>
        <v>1</v>
      </c>
      <c r="G190" s="13" t="n">
        <f aca="false">VALUE(Raw_Data!G193)</f>
        <v>190</v>
      </c>
      <c r="H190" s="13" t="n">
        <f aca="false">F190*G190</f>
        <v>190</v>
      </c>
      <c r="I190" s="13" t="n">
        <f aca="false">VALUE(Raw_Data!H193)</f>
        <v>82</v>
      </c>
      <c r="J190" s="13" t="n">
        <f aca="false">H190-I190</f>
        <v>108</v>
      </c>
      <c r="K190" s="14" t="n">
        <f aca="false">IFERROR(J190/H190,0)</f>
        <v>0.568421052631579</v>
      </c>
      <c r="L190" s="9" t="str">
        <f aca="false">TEXT(B190,"MMM-YYYY")</f>
        <v>Aug-2026</v>
      </c>
      <c r="M190" s="9" t="n">
        <f aca="false">YEAR(B190)</f>
        <v>2026</v>
      </c>
      <c r="N190" s="9" t="str">
        <f aca="false">IF(TRIM(Raw_Data!I193&amp;"")="","Not Specified",TRIM(Raw_Data!I193))</f>
        <v>Card</v>
      </c>
      <c r="O190" s="9" t="str">
        <f aca="false">PROPER(TRIM(Raw_Data!J193))</f>
        <v>Completed</v>
      </c>
      <c r="P190" s="9" t="str">
        <f aca="false">IF(O190="Completed","Completed","Not Completed")</f>
        <v>Completed</v>
      </c>
    </row>
    <row r="191" customFormat="false" ht="15" hidden="false" customHeight="false" outlineLevel="0" collapsed="false">
      <c r="A191" s="9" t="str">
        <f aca="false">Raw_Data!A194</f>
        <v>ORD1173</v>
      </c>
      <c r="B191" s="10" t="n">
        <f aca="false">IF(ISNUMBER(Raw_Data!B194),Raw_Data!B194,DATE(VALUE(RIGHT(Raw_Data!B194,4)),VALUE(MID(Raw_Data!B194,4,2)),VALUE(LEFT(Raw_Data!B194,2))))</f>
        <v>46231</v>
      </c>
      <c r="C191" s="9" t="str">
        <f aca="false">IFERROR(INDEX($T$10:$T$11,MATCH(PROPER(TRIM(Raw_Data!C194)),$S$10:$S$11,0)),PROPER(TRIM(Raw_Data!C194)))</f>
        <v>Indiranagar</v>
      </c>
      <c r="D191" s="9" t="str">
        <f aca="false">PROPER(TRIM(Raw_Data!D194))</f>
        <v>Frappe</v>
      </c>
      <c r="E191" s="9" t="str">
        <f aca="false">IFERROR(INDEX($T$6:$T$7,MATCH(PROPER(TRIM(Raw_Data!E194)),$S$6:$S$7,0)),PROPER(TRIM(Raw_Data!E194)))</f>
        <v>Cold Beverages</v>
      </c>
      <c r="F191" s="9" t="n">
        <f aca="false">IF(TRIM(Raw_Data!F194&amp;"")="",1,VALUE(Raw_Data!F194))</f>
        <v>4</v>
      </c>
      <c r="G191" s="13" t="n">
        <f aca="false">VALUE(Raw_Data!G194)</f>
        <v>240</v>
      </c>
      <c r="H191" s="13" t="n">
        <f aca="false">F191*G191</f>
        <v>960</v>
      </c>
      <c r="I191" s="13" t="n">
        <f aca="false">VALUE(Raw_Data!H194)</f>
        <v>390</v>
      </c>
      <c r="J191" s="13" t="n">
        <f aca="false">H191-I191</f>
        <v>570</v>
      </c>
      <c r="K191" s="14" t="n">
        <f aca="false">IFERROR(J191/H191,0)</f>
        <v>0.59375</v>
      </c>
      <c r="L191" s="9" t="str">
        <f aca="false">TEXT(B191,"MMM-YYYY")</f>
        <v>Jul-2026</v>
      </c>
      <c r="M191" s="9" t="n">
        <f aca="false">YEAR(B191)</f>
        <v>2026</v>
      </c>
      <c r="N191" s="9" t="str">
        <f aca="false">IF(TRIM(Raw_Data!I194&amp;"")="","Not Specified",TRIM(Raw_Data!I194))</f>
        <v>Cash</v>
      </c>
      <c r="O191" s="9" t="str">
        <f aca="false">PROPER(TRIM(Raw_Data!J194))</f>
        <v>Completed</v>
      </c>
      <c r="P191" s="9" t="str">
        <f aca="false">IF(O191="Completed","Completed","Not Completed")</f>
        <v>Completed</v>
      </c>
    </row>
    <row r="192" customFormat="false" ht="15" hidden="false" customHeight="false" outlineLevel="0" collapsed="false">
      <c r="A192" s="9" t="str">
        <f aca="false">Raw_Data!A195</f>
        <v>ORD1111</v>
      </c>
      <c r="B192" s="10" t="n">
        <f aca="false">IF(ISNUMBER(Raw_Data!B195),Raw_Data!B195,DATE(VALUE(RIGHT(Raw_Data!B195,4)),VALUE(MID(Raw_Data!B195,4,2)),VALUE(LEFT(Raw_Data!B195,2))))</f>
        <v>46181</v>
      </c>
      <c r="C192" s="9" t="str">
        <f aca="false">IFERROR(INDEX($T$10:$T$11,MATCH(PROPER(TRIM(Raw_Data!C195)),$S$10:$S$11,0)),PROPER(TRIM(Raw_Data!C195)))</f>
        <v>Indiranagar</v>
      </c>
      <c r="D192" s="9" t="str">
        <f aca="false">PROPER(TRIM(Raw_Data!D195))</f>
        <v>Danish Pastry</v>
      </c>
      <c r="E192" s="9" t="str">
        <f aca="false">IFERROR(INDEX($T$6:$T$7,MATCH(PROPER(TRIM(Raw_Data!E195)),$S$6:$S$7,0)),PROPER(TRIM(Raw_Data!E195)))</f>
        <v>Bakery</v>
      </c>
      <c r="F192" s="9" t="n">
        <f aca="false">IF(TRIM(Raw_Data!F195&amp;"")="",1,VALUE(Raw_Data!F195))</f>
        <v>1</v>
      </c>
      <c r="G192" s="13" t="n">
        <f aca="false">VALUE(Raw_Data!G195)</f>
        <v>160</v>
      </c>
      <c r="H192" s="13" t="n">
        <f aca="false">F192*G192</f>
        <v>160</v>
      </c>
      <c r="I192" s="13" t="n">
        <f aca="false">VALUE(Raw_Data!H195)</f>
        <v>64</v>
      </c>
      <c r="J192" s="13" t="n">
        <f aca="false">H192-I192</f>
        <v>96</v>
      </c>
      <c r="K192" s="14" t="n">
        <f aca="false">IFERROR(J192/H192,0)</f>
        <v>0.6</v>
      </c>
      <c r="L192" s="9" t="str">
        <f aca="false">TEXT(B192,"MMM-YYYY")</f>
        <v>Jun-2026</v>
      </c>
      <c r="M192" s="9" t="n">
        <f aca="false">YEAR(B192)</f>
        <v>2026</v>
      </c>
      <c r="N192" s="9" t="str">
        <f aca="false">IF(TRIM(Raw_Data!I195&amp;"")="","Not Specified",TRIM(Raw_Data!I195))</f>
        <v>Cash</v>
      </c>
      <c r="O192" s="9" t="str">
        <f aca="false">PROPER(TRIM(Raw_Data!J195))</f>
        <v>Completed</v>
      </c>
      <c r="P192" s="9" t="str">
        <f aca="false">IF(O192="Completed","Completed","Not Completed")</f>
        <v>Completed</v>
      </c>
    </row>
    <row r="193" customFormat="false" ht="15" hidden="false" customHeight="false" outlineLevel="0" collapsed="false">
      <c r="A193" s="9" t="str">
        <f aca="false">Raw_Data!A196</f>
        <v>ORD1073</v>
      </c>
      <c r="B193" s="10" t="n">
        <f aca="false">IF(ISNUMBER(Raw_Data!B196),Raw_Data!B196,DATE(VALUE(RIGHT(Raw_Data!B196,4)),VALUE(MID(Raw_Data!B196,4,2)),VALUE(LEFT(Raw_Data!B196,2))))</f>
        <v>46182</v>
      </c>
      <c r="C193" s="9" t="str">
        <f aca="false">IFERROR(INDEX($T$10:$T$11,MATCH(PROPER(TRIM(Raw_Data!C196)),$S$10:$S$11,0)),PROPER(TRIM(Raw_Data!C196)))</f>
        <v>Koramangala</v>
      </c>
      <c r="D193" s="9" t="str">
        <f aca="false">PROPER(TRIM(Raw_Data!D196))</f>
        <v>Nachos</v>
      </c>
      <c r="E193" s="9" t="str">
        <f aca="false">IFERROR(INDEX($T$6:$T$7,MATCH(PROPER(TRIM(Raw_Data!E196)),$S$6:$S$7,0)),PROPER(TRIM(Raw_Data!E196)))</f>
        <v>Snacks</v>
      </c>
      <c r="F193" s="9" t="n">
        <f aca="false">IF(TRIM(Raw_Data!F196&amp;"")="",1,VALUE(Raw_Data!F196))</f>
        <v>1</v>
      </c>
      <c r="G193" s="13" t="n">
        <f aca="false">VALUE(Raw_Data!G196)</f>
        <v>170</v>
      </c>
      <c r="H193" s="13" t="n">
        <f aca="false">F193*G193</f>
        <v>170</v>
      </c>
      <c r="I193" s="13" t="n">
        <f aca="false">VALUE(Raw_Data!H196)</f>
        <v>88</v>
      </c>
      <c r="J193" s="13" t="n">
        <f aca="false">H193-I193</f>
        <v>82</v>
      </c>
      <c r="K193" s="14" t="n">
        <f aca="false">IFERROR(J193/H193,0)</f>
        <v>0.482352941176471</v>
      </c>
      <c r="L193" s="9" t="str">
        <f aca="false">TEXT(B193,"MMM-YYYY")</f>
        <v>Jun-2026</v>
      </c>
      <c r="M193" s="9" t="n">
        <f aca="false">YEAR(B193)</f>
        <v>2026</v>
      </c>
      <c r="N193" s="9" t="str">
        <f aca="false">IF(TRIM(Raw_Data!I196&amp;"")="","Not Specified",TRIM(Raw_Data!I196))</f>
        <v>UPI</v>
      </c>
      <c r="O193" s="9" t="str">
        <f aca="false">PROPER(TRIM(Raw_Data!J196))</f>
        <v>Completed</v>
      </c>
      <c r="P193" s="9" t="str">
        <f aca="false">IF(O193="Completed","Completed","Not Completed")</f>
        <v>Completed</v>
      </c>
    </row>
    <row r="194" customFormat="false" ht="15" hidden="false" customHeight="false" outlineLevel="0" collapsed="false">
      <c r="A194" s="9" t="str">
        <f aca="false">Raw_Data!A197</f>
        <v>ORD1099</v>
      </c>
      <c r="B194" s="10" t="n">
        <f aca="false">IF(ISNUMBER(Raw_Data!B197),Raw_Data!B197,DATE(VALUE(RIGHT(Raw_Data!B197,4)),VALUE(MID(Raw_Data!B197,4,2)),VALUE(LEFT(Raw_Data!B197,2))))</f>
        <v>46249</v>
      </c>
      <c r="C194" s="9" t="str">
        <f aca="false">IFERROR(INDEX($T$10:$T$11,MATCH(PROPER(TRIM(Raw_Data!C197)),$S$10:$S$11,0)),PROPER(TRIM(Raw_Data!C197)))</f>
        <v>HSR Layout</v>
      </c>
      <c r="D194" s="9" t="str">
        <f aca="false">PROPER(TRIM(Raw_Data!D197))</f>
        <v>Cappuccino</v>
      </c>
      <c r="E194" s="9" t="str">
        <f aca="false">IFERROR(INDEX($T$6:$T$7,MATCH(PROPER(TRIM(Raw_Data!E197)),$S$6:$S$7,0)),PROPER(TRIM(Raw_Data!E197)))</f>
        <v>Hot Beverages</v>
      </c>
      <c r="F194" s="9" t="n">
        <f aca="false">IF(TRIM(Raw_Data!F197&amp;"")="",1,VALUE(Raw_Data!F197))</f>
        <v>1</v>
      </c>
      <c r="G194" s="13" t="n">
        <f aca="false">VALUE(Raw_Data!G197)</f>
        <v>180</v>
      </c>
      <c r="H194" s="13" t="n">
        <f aca="false">F194*G194</f>
        <v>180</v>
      </c>
      <c r="I194" s="13" t="n">
        <f aca="false">VALUE(Raw_Data!H197)</f>
        <v>80</v>
      </c>
      <c r="J194" s="13" t="n">
        <f aca="false">H194-I194</f>
        <v>100</v>
      </c>
      <c r="K194" s="14" t="n">
        <f aca="false">IFERROR(J194/H194,0)</f>
        <v>0.555555555555556</v>
      </c>
      <c r="L194" s="9" t="str">
        <f aca="false">TEXT(B194,"MMM-YYYY")</f>
        <v>Aug-2026</v>
      </c>
      <c r="M194" s="9" t="n">
        <f aca="false">YEAR(B194)</f>
        <v>2026</v>
      </c>
      <c r="N194" s="9" t="str">
        <f aca="false">IF(TRIM(Raw_Data!I197&amp;"")="","Not Specified",TRIM(Raw_Data!I197))</f>
        <v>Card</v>
      </c>
      <c r="O194" s="9" t="str">
        <f aca="false">PROPER(TRIM(Raw_Data!J197))</f>
        <v>Completed</v>
      </c>
      <c r="P194" s="9" t="str">
        <f aca="false">IF(O194="Completed","Completed","Not Completed")</f>
        <v>Completed</v>
      </c>
    </row>
    <row r="195" customFormat="false" ht="15" hidden="false" customHeight="false" outlineLevel="0" collapsed="false">
      <c r="A195" s="9" t="str">
        <f aca="false">Raw_Data!A198</f>
        <v>ORD1189</v>
      </c>
      <c r="B195" s="10" t="n">
        <f aca="false">IF(ISNUMBER(Raw_Data!B198),Raw_Data!B198,DATE(VALUE(RIGHT(Raw_Data!B198,4)),VALUE(MID(Raw_Data!B198,4,2)),VALUE(LEFT(Raw_Data!B198,2))))</f>
        <v>46210</v>
      </c>
      <c r="C195" s="9" t="str">
        <f aca="false">IFERROR(INDEX($T$10:$T$11,MATCH(PROPER(TRIM(Raw_Data!C198)),$S$10:$S$11,0)),PROPER(TRIM(Raw_Data!C198)))</f>
        <v>Koramangala</v>
      </c>
      <c r="D195" s="9" t="str">
        <f aca="false">PROPER(TRIM(Raw_Data!D198))</f>
        <v>Cappuccino</v>
      </c>
      <c r="E195" s="9" t="str">
        <f aca="false">IFERROR(INDEX($T$6:$T$7,MATCH(PROPER(TRIM(Raw_Data!E198)),$S$6:$S$7,0)),PROPER(TRIM(Raw_Data!E198)))</f>
        <v>Hot Beverages</v>
      </c>
      <c r="F195" s="9" t="n">
        <f aca="false">IF(TRIM(Raw_Data!F198&amp;"")="",1,VALUE(Raw_Data!F198))</f>
        <v>1</v>
      </c>
      <c r="G195" s="13" t="n">
        <f aca="false">VALUE(Raw_Data!G198)</f>
        <v>180</v>
      </c>
      <c r="H195" s="13" t="n">
        <f aca="false">F195*G195</f>
        <v>180</v>
      </c>
      <c r="I195" s="13" t="n">
        <f aca="false">VALUE(Raw_Data!H198)</f>
        <v>65</v>
      </c>
      <c r="J195" s="13" t="n">
        <f aca="false">H195-I195</f>
        <v>115</v>
      </c>
      <c r="K195" s="14" t="n">
        <f aca="false">IFERROR(J195/H195,0)</f>
        <v>0.638888888888889</v>
      </c>
      <c r="L195" s="9" t="str">
        <f aca="false">TEXT(B195,"MMM-YYYY")</f>
        <v>Jul-2026</v>
      </c>
      <c r="M195" s="9" t="n">
        <f aca="false">YEAR(B195)</f>
        <v>2026</v>
      </c>
      <c r="N195" s="9" t="str">
        <f aca="false">IF(TRIM(Raw_Data!I198&amp;"")="","Not Specified",TRIM(Raw_Data!I198))</f>
        <v>Cash</v>
      </c>
      <c r="O195" s="9" t="str">
        <f aca="false">PROPER(TRIM(Raw_Data!J198))</f>
        <v>Completed</v>
      </c>
      <c r="P195" s="9" t="str">
        <f aca="false">IF(O195="Completed","Completed","Not Completed")</f>
        <v>Completed</v>
      </c>
    </row>
    <row r="196" customFormat="false" ht="15" hidden="false" customHeight="false" outlineLevel="0" collapsed="false">
      <c r="A196" s="9" t="str">
        <f aca="false">Raw_Data!A199</f>
        <v>ORD1164</v>
      </c>
      <c r="B196" s="10" t="n">
        <f aca="false">IF(ISNUMBER(Raw_Data!B199),Raw_Data!B199,DATE(VALUE(RIGHT(Raw_Data!B199,4)),VALUE(MID(Raw_Data!B199,4,2)),VALUE(LEFT(Raw_Data!B199,2))))</f>
        <v>46257</v>
      </c>
      <c r="C196" s="9" t="str">
        <f aca="false">IFERROR(INDEX($T$10:$T$11,MATCH(PROPER(TRIM(Raw_Data!C199)),$S$10:$S$11,0)),PROPER(TRIM(Raw_Data!C199)))</f>
        <v>Koramangala</v>
      </c>
      <c r="D196" s="9" t="str">
        <f aca="false">PROPER(TRIM(Raw_Data!D199))</f>
        <v>Cappuccino</v>
      </c>
      <c r="E196" s="9" t="str">
        <f aca="false">IFERROR(INDEX($T$6:$T$7,MATCH(PROPER(TRIM(Raw_Data!E199)),$S$6:$S$7,0)),PROPER(TRIM(Raw_Data!E199)))</f>
        <v>Hot Beverages</v>
      </c>
      <c r="F196" s="9" t="n">
        <f aca="false">IF(TRIM(Raw_Data!F199&amp;"")="",1,VALUE(Raw_Data!F199))</f>
        <v>1</v>
      </c>
      <c r="G196" s="13" t="n">
        <f aca="false">VALUE(Raw_Data!G199)</f>
        <v>180</v>
      </c>
      <c r="H196" s="13" t="n">
        <f aca="false">F196*G196</f>
        <v>180</v>
      </c>
      <c r="I196" s="13" t="n">
        <f aca="false">VALUE(Raw_Data!H199)</f>
        <v>73</v>
      </c>
      <c r="J196" s="13" t="n">
        <f aca="false">H196-I196</f>
        <v>107</v>
      </c>
      <c r="K196" s="14" t="n">
        <f aca="false">IFERROR(J196/H196,0)</f>
        <v>0.594444444444444</v>
      </c>
      <c r="L196" s="9" t="str">
        <f aca="false">TEXT(B196,"MMM-YYYY")</f>
        <v>Aug-2026</v>
      </c>
      <c r="M196" s="9" t="n">
        <f aca="false">YEAR(B196)</f>
        <v>2026</v>
      </c>
      <c r="N196" s="9" t="str">
        <f aca="false">IF(TRIM(Raw_Data!I199&amp;"")="","Not Specified",TRIM(Raw_Data!I199))</f>
        <v>UPI</v>
      </c>
      <c r="O196" s="9" t="str">
        <f aca="false">PROPER(TRIM(Raw_Data!J199))</f>
        <v>Completed</v>
      </c>
      <c r="P196" s="9" t="str">
        <f aca="false">IF(O196="Completed","Completed","Not Completed")</f>
        <v>Completed</v>
      </c>
    </row>
    <row r="197" customFormat="false" ht="15" hidden="false" customHeight="false" outlineLevel="0" collapsed="false">
      <c r="A197" s="9" t="str">
        <f aca="false">Raw_Data!A200</f>
        <v>ORD1121</v>
      </c>
      <c r="B197" s="10" t="n">
        <f aca="false">IF(ISNUMBER(Raw_Data!B200),Raw_Data!B200,DATE(VALUE(RIGHT(Raw_Data!B200,4)),VALUE(MID(Raw_Data!B200,4,2)),VALUE(LEFT(Raw_Data!B200,2))))</f>
        <v>46182</v>
      </c>
      <c r="C197" s="9" t="str">
        <f aca="false">IFERROR(INDEX($T$10:$T$11,MATCH(PROPER(TRIM(Raw_Data!C200)),$S$10:$S$11,0)),PROPER(TRIM(Raw_Data!C200)))</f>
        <v>Koramangala</v>
      </c>
      <c r="D197" s="9" t="str">
        <f aca="false">PROPER(TRIM(Raw_Data!D200))</f>
        <v>Frappe</v>
      </c>
      <c r="E197" s="9" t="str">
        <f aca="false">IFERROR(INDEX($T$6:$T$7,MATCH(PROPER(TRIM(Raw_Data!E200)),$S$6:$S$7,0)),PROPER(TRIM(Raw_Data!E200)))</f>
        <v>Cold Beverages</v>
      </c>
      <c r="F197" s="9" t="n">
        <f aca="false">IF(TRIM(Raw_Data!F200&amp;"")="",1,VALUE(Raw_Data!F200))</f>
        <v>1</v>
      </c>
      <c r="G197" s="13" t="n">
        <f aca="false">VALUE(Raw_Data!G200)</f>
        <v>240</v>
      </c>
      <c r="H197" s="13" t="n">
        <f aca="false">F197*G197</f>
        <v>240</v>
      </c>
      <c r="I197" s="13" t="n">
        <f aca="false">VALUE(Raw_Data!H200)</f>
        <v>108</v>
      </c>
      <c r="J197" s="13" t="n">
        <f aca="false">H197-I197</f>
        <v>132</v>
      </c>
      <c r="K197" s="14" t="n">
        <f aca="false">IFERROR(J197/H197,0)</f>
        <v>0.55</v>
      </c>
      <c r="L197" s="9" t="str">
        <f aca="false">TEXT(B197,"MMM-YYYY")</f>
        <v>Jun-2026</v>
      </c>
      <c r="M197" s="9" t="n">
        <f aca="false">YEAR(B197)</f>
        <v>2026</v>
      </c>
      <c r="N197" s="9" t="str">
        <f aca="false">IF(TRIM(Raw_Data!I200&amp;"")="","Not Specified",TRIM(Raw_Data!I200))</f>
        <v>UPI</v>
      </c>
      <c r="O197" s="9" t="str">
        <f aca="false">PROPER(TRIM(Raw_Data!J200))</f>
        <v>Completed</v>
      </c>
      <c r="P197" s="9" t="str">
        <f aca="false">IF(O197="Completed","Completed","Not Completed")</f>
        <v>Completed</v>
      </c>
    </row>
    <row r="198" customFormat="false" ht="15" hidden="false" customHeight="false" outlineLevel="0" collapsed="false">
      <c r="A198" s="9" t="str">
        <f aca="false">Raw_Data!A201</f>
        <v>ORD1113</v>
      </c>
      <c r="B198" s="10" t="n">
        <f aca="false">IF(ISNUMBER(Raw_Data!B201),Raw_Data!B201,DATE(VALUE(RIGHT(Raw_Data!B201,4)),VALUE(MID(Raw_Data!B201,4,2)),VALUE(LEFT(Raw_Data!B201,2))))</f>
        <v>46184</v>
      </c>
      <c r="C198" s="9" t="str">
        <f aca="false">IFERROR(INDEX($T$10:$T$11,MATCH(PROPER(TRIM(Raw_Data!C201)),$S$10:$S$11,0)),PROPER(TRIM(Raw_Data!C201)))</f>
        <v>Indiranagar</v>
      </c>
      <c r="D198" s="9" t="str">
        <f aca="false">PROPER(TRIM(Raw_Data!D201))</f>
        <v>Muffin</v>
      </c>
      <c r="E198" s="9" t="str">
        <f aca="false">IFERROR(INDEX($T$6:$T$7,MATCH(PROPER(TRIM(Raw_Data!E201)),$S$6:$S$7,0)),PROPER(TRIM(Raw_Data!E201)))</f>
        <v>Bakery</v>
      </c>
      <c r="F198" s="9" t="n">
        <f aca="false">IF(TRIM(Raw_Data!F201&amp;"")="",1,VALUE(Raw_Data!F201))</f>
        <v>1</v>
      </c>
      <c r="G198" s="13" t="n">
        <f aca="false">VALUE(Raw_Data!G201)</f>
        <v>130</v>
      </c>
      <c r="H198" s="13" t="n">
        <f aca="false">F198*G198</f>
        <v>130</v>
      </c>
      <c r="I198" s="13" t="n">
        <f aca="false">VALUE(Raw_Data!H201)</f>
        <v>62</v>
      </c>
      <c r="J198" s="13" t="n">
        <f aca="false">H198-I198</f>
        <v>68</v>
      </c>
      <c r="K198" s="14" t="n">
        <f aca="false">IFERROR(J198/H198,0)</f>
        <v>0.523076923076923</v>
      </c>
      <c r="L198" s="9" t="str">
        <f aca="false">TEXT(B198,"MMM-YYYY")</f>
        <v>Jun-2026</v>
      </c>
      <c r="M198" s="9" t="n">
        <f aca="false">YEAR(B198)</f>
        <v>2026</v>
      </c>
      <c r="N198" s="9" t="str">
        <f aca="false">IF(TRIM(Raw_Data!I201&amp;"")="","Not Specified",TRIM(Raw_Data!I201))</f>
        <v>UPI</v>
      </c>
      <c r="O198" s="9" t="str">
        <f aca="false">PROPER(TRIM(Raw_Data!J201))</f>
        <v>Completed</v>
      </c>
      <c r="P198" s="9" t="str">
        <f aca="false">IF(O198="Completed","Completed","Not Completed")</f>
        <v>Completed</v>
      </c>
    </row>
    <row r="199" customFormat="false" ht="15" hidden="false" customHeight="false" outlineLevel="0" collapsed="false">
      <c r="A199" s="9" t="str">
        <f aca="false">Raw_Data!A202</f>
        <v>ORD1049</v>
      </c>
      <c r="B199" s="10" t="n">
        <f aca="false">IF(ISNUMBER(Raw_Data!B202),Raw_Data!B202,DATE(VALUE(RIGHT(Raw_Data!B202,4)),VALUE(MID(Raw_Data!B202,4,2)),VALUE(LEFT(Raw_Data!B202,2))))</f>
        <v>46217</v>
      </c>
      <c r="C199" s="9" t="str">
        <f aca="false">IFERROR(INDEX($T$10:$T$11,MATCH(PROPER(TRIM(Raw_Data!C202)),$S$10:$S$11,0)),PROPER(TRIM(Raw_Data!C202)))</f>
        <v>HSR Layout</v>
      </c>
      <c r="D199" s="9" t="str">
        <f aca="false">PROPER(TRIM(Raw_Data!D202))</f>
        <v>Veg Puff</v>
      </c>
      <c r="E199" s="9" t="str">
        <f aca="false">IFERROR(INDEX($T$6:$T$7,MATCH(PROPER(TRIM(Raw_Data!E202)),$S$6:$S$7,0)),PROPER(TRIM(Raw_Data!E202)))</f>
        <v>Snacks</v>
      </c>
      <c r="F199" s="9" t="n">
        <f aca="false">IF(TRIM(Raw_Data!F202&amp;"")="",1,VALUE(Raw_Data!F202))</f>
        <v>2</v>
      </c>
      <c r="G199" s="13" t="n">
        <f aca="false">VALUE(Raw_Data!G202)</f>
        <v>80</v>
      </c>
      <c r="H199" s="13" t="n">
        <f aca="false">F199*G199</f>
        <v>160</v>
      </c>
      <c r="I199" s="13" t="n">
        <f aca="false">VALUE(Raw_Data!H202)</f>
        <v>75</v>
      </c>
      <c r="J199" s="13" t="n">
        <f aca="false">H199-I199</f>
        <v>85</v>
      </c>
      <c r="K199" s="14" t="n">
        <f aca="false">IFERROR(J199/H199,0)</f>
        <v>0.53125</v>
      </c>
      <c r="L199" s="9" t="str">
        <f aca="false">TEXT(B199,"MMM-YYYY")</f>
        <v>Jul-2026</v>
      </c>
      <c r="M199" s="9" t="n">
        <f aca="false">YEAR(B199)</f>
        <v>2026</v>
      </c>
      <c r="N199" s="9" t="str">
        <f aca="false">IF(TRIM(Raw_Data!I202&amp;"")="","Not Specified",TRIM(Raw_Data!I202))</f>
        <v>UPI</v>
      </c>
      <c r="O199" s="9" t="str">
        <f aca="false">PROPER(TRIM(Raw_Data!J202))</f>
        <v>Completed</v>
      </c>
      <c r="P199" s="9" t="str">
        <f aca="false">IF(O199="Completed","Completed","Not Completed")</f>
        <v>Completed</v>
      </c>
    </row>
    <row r="200" customFormat="false" ht="15" hidden="false" customHeight="false" outlineLevel="0" collapsed="false">
      <c r="A200" s="9" t="str">
        <f aca="false">Raw_Data!A203</f>
        <v>ORD1005</v>
      </c>
      <c r="B200" s="10" t="n">
        <f aca="false">IF(ISNUMBER(Raw_Data!B203),Raw_Data!B203,DATE(VALUE(RIGHT(Raw_Data!B203,4)),VALUE(MID(Raw_Data!B203,4,2)),VALUE(LEFT(Raw_Data!B203,2))))</f>
        <v>46247</v>
      </c>
      <c r="C200" s="9" t="str">
        <f aca="false">IFERROR(INDEX($T$10:$T$11,MATCH(PROPER(TRIM(Raw_Data!C203)),$S$10:$S$11,0)),PROPER(TRIM(Raw_Data!C203)))</f>
        <v>Whitefield</v>
      </c>
      <c r="D200" s="9" t="str">
        <f aca="false">PROPER(TRIM(Raw_Data!D203))</f>
        <v>Cold Brew</v>
      </c>
      <c r="E200" s="9" t="str">
        <f aca="false">IFERROR(INDEX($T$6:$T$7,MATCH(PROPER(TRIM(Raw_Data!E203)),$S$6:$S$7,0)),PROPER(TRIM(Raw_Data!E203)))</f>
        <v>Cold Beverages</v>
      </c>
      <c r="F200" s="9" t="n">
        <f aca="false">IF(TRIM(Raw_Data!F203&amp;"")="",1,VALUE(Raw_Data!F203))</f>
        <v>1</v>
      </c>
      <c r="G200" s="13" t="n">
        <f aca="false">VALUE(Raw_Data!G203)</f>
        <v>220</v>
      </c>
      <c r="H200" s="13" t="n">
        <f aca="false">F200*G200</f>
        <v>220</v>
      </c>
      <c r="I200" s="13" t="n">
        <f aca="false">VALUE(Raw_Data!H203)</f>
        <v>96</v>
      </c>
      <c r="J200" s="13" t="n">
        <f aca="false">H200-I200</f>
        <v>124</v>
      </c>
      <c r="K200" s="14" t="n">
        <f aca="false">IFERROR(J200/H200,0)</f>
        <v>0.563636363636364</v>
      </c>
      <c r="L200" s="9" t="str">
        <f aca="false">TEXT(B200,"MMM-YYYY")</f>
        <v>Aug-2026</v>
      </c>
      <c r="M200" s="9" t="n">
        <f aca="false">YEAR(B200)</f>
        <v>2026</v>
      </c>
      <c r="N200" s="9" t="str">
        <f aca="false">IF(TRIM(Raw_Data!I203&amp;"")="","Not Specified",TRIM(Raw_Data!I203))</f>
        <v>UPI</v>
      </c>
      <c r="O200" s="9" t="str">
        <f aca="false">PROPER(TRIM(Raw_Data!J203))</f>
        <v>Completed</v>
      </c>
      <c r="P200" s="9" t="str">
        <f aca="false">IF(O200="Completed","Completed","Not Completed")</f>
        <v>Completed</v>
      </c>
    </row>
    <row r="201" customFormat="false" ht="15" hidden="false" customHeight="false" outlineLevel="0" collapsed="false">
      <c r="A201" s="9" t="str">
        <f aca="false">Raw_Data!A204</f>
        <v>ORD1057</v>
      </c>
      <c r="B201" s="10" t="n">
        <f aca="false">IF(ISNUMBER(Raw_Data!B204),Raw_Data!B204,DATE(VALUE(RIGHT(Raw_Data!B204,4)),VALUE(MID(Raw_Data!B204,4,2)),VALUE(LEFT(Raw_Data!B204,2))))</f>
        <v>46200</v>
      </c>
      <c r="C201" s="9" t="str">
        <f aca="false">IFERROR(INDEX($T$10:$T$11,MATCH(PROPER(TRIM(Raw_Data!C204)),$S$10:$S$11,0)),PROPER(TRIM(Raw_Data!C204)))</f>
        <v>Whitefield</v>
      </c>
      <c r="D201" s="9" t="str">
        <f aca="false">PROPER(TRIM(Raw_Data!D204))</f>
        <v>Veg Puff</v>
      </c>
      <c r="E201" s="9" t="str">
        <f aca="false">IFERROR(INDEX($T$6:$T$7,MATCH(PROPER(TRIM(Raw_Data!E204)),$S$6:$S$7,0)),PROPER(TRIM(Raw_Data!E204)))</f>
        <v>Snacks</v>
      </c>
      <c r="F201" s="9" t="n">
        <f aca="false">IF(TRIM(Raw_Data!F204&amp;"")="",1,VALUE(Raw_Data!F204))</f>
        <v>2</v>
      </c>
      <c r="G201" s="13" t="n">
        <f aca="false">VALUE(Raw_Data!G204)</f>
        <v>80</v>
      </c>
      <c r="H201" s="13" t="n">
        <f aca="false">F201*G201</f>
        <v>160</v>
      </c>
      <c r="I201" s="13" t="n">
        <f aca="false">VALUE(Raw_Data!H204)</f>
        <v>71</v>
      </c>
      <c r="J201" s="13" t="n">
        <f aca="false">H201-I201</f>
        <v>89</v>
      </c>
      <c r="K201" s="14" t="n">
        <f aca="false">IFERROR(J201/H201,0)</f>
        <v>0.55625</v>
      </c>
      <c r="L201" s="9" t="str">
        <f aca="false">TEXT(B201,"MMM-YYYY")</f>
        <v>Jun-2026</v>
      </c>
      <c r="M201" s="9" t="n">
        <f aca="false">YEAR(B201)</f>
        <v>2026</v>
      </c>
      <c r="N201" s="9" t="str">
        <f aca="false">IF(TRIM(Raw_Data!I204&amp;"")="","Not Specified",TRIM(Raw_Data!I204))</f>
        <v>UPI</v>
      </c>
      <c r="O201" s="9" t="str">
        <f aca="false">PROPER(TRIM(Raw_Data!J204))</f>
        <v>Completed</v>
      </c>
      <c r="P201" s="9" t="str">
        <f aca="false">IF(O201="Completed","Completed","Not Completed")</f>
        <v>Completed</v>
      </c>
    </row>
  </sheetData>
  <autoFilter ref="A4:P201"/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4" min="3" style="0" width="4"/>
  </cols>
  <sheetData>
    <row r="1" customFormat="false" ht="15" hidden="false" customHeight="false" outlineLevel="0" collapsed="false">
      <c r="A1" s="11" t="s">
        <v>323</v>
      </c>
      <c r="B1" s="11"/>
      <c r="C1" s="11"/>
      <c r="D1" s="11"/>
    </row>
    <row r="3" customFormat="false" ht="15" hidden="false" customHeight="false" outlineLevel="0" collapsed="false">
      <c r="A3" s="17" t="s">
        <v>324</v>
      </c>
      <c r="B3" s="17"/>
      <c r="C3" s="17"/>
      <c r="D3" s="17"/>
    </row>
    <row r="4" customFormat="false" ht="15" hidden="false" customHeight="false" outlineLevel="0" collapsed="false">
      <c r="A4" s="18" t="s">
        <v>325</v>
      </c>
      <c r="B4" s="19" t="n">
        <f aca="false">COUNTA(Cleaned_Data!$A$5:$A$201)</f>
        <v>197</v>
      </c>
    </row>
    <row r="5" customFormat="false" ht="15" hidden="false" customHeight="false" outlineLevel="0" collapsed="false">
      <c r="A5" s="18" t="s">
        <v>326</v>
      </c>
      <c r="B5" s="19" t="n">
        <f aca="false">COUNTIF(Cleaned_Data!$O$5:$O$201,"Completed")</f>
        <v>170</v>
      </c>
    </row>
    <row r="6" customFormat="false" ht="15" hidden="false" customHeight="false" outlineLevel="0" collapsed="false">
      <c r="A6" s="18" t="s">
        <v>327</v>
      </c>
      <c r="B6" s="19" t="n">
        <f aca="false">COUNTIF(Cleaned_Data!$O$5:$O$201,"Cancelled")</f>
        <v>27</v>
      </c>
    </row>
    <row r="7" customFormat="false" ht="15" hidden="false" customHeight="false" outlineLevel="0" collapsed="false">
      <c r="A7" s="18" t="s">
        <v>328</v>
      </c>
      <c r="B7" s="20" t="n">
        <f aca="false">B5/B4</f>
        <v>0.862944162436548</v>
      </c>
    </row>
    <row r="8" customFormat="false" ht="15" hidden="false" customHeight="false" outlineLevel="0" collapsed="false">
      <c r="A8" s="18" t="s">
        <v>329</v>
      </c>
      <c r="B8" s="20" t="n">
        <f aca="false">B6/B4</f>
        <v>0.137055837563452</v>
      </c>
    </row>
    <row r="9" customFormat="false" ht="15" hidden="false" customHeight="false" outlineLevel="0" collapsed="false">
      <c r="A9" s="18" t="s">
        <v>330</v>
      </c>
      <c r="B9" s="21" t="n">
        <f aca="false">SUMIFS(Cleaned_Data!$H$5:$H$201,Cleaned_Data!$O$5:$O$201,"Completed")</f>
        <v>47560</v>
      </c>
    </row>
    <row r="10" customFormat="false" ht="15" hidden="false" customHeight="false" outlineLevel="0" collapsed="false">
      <c r="A10" s="18" t="s">
        <v>331</v>
      </c>
      <c r="B10" s="21" t="n">
        <f aca="false">SUMIFS(Cleaned_Data!$I$5:$I$201,Cleaned_Data!$O$5:$O$201,"Completed")</f>
        <v>20961</v>
      </c>
    </row>
    <row r="11" customFormat="false" ht="15" hidden="false" customHeight="false" outlineLevel="0" collapsed="false">
      <c r="A11" s="18" t="s">
        <v>332</v>
      </c>
      <c r="B11" s="21" t="n">
        <f aca="false">B9-B10</f>
        <v>26599</v>
      </c>
    </row>
    <row r="12" customFormat="false" ht="15" hidden="false" customHeight="false" outlineLevel="0" collapsed="false">
      <c r="A12" s="18" t="s">
        <v>333</v>
      </c>
      <c r="B12" s="20" t="n">
        <f aca="false">B11/B9</f>
        <v>0.559272497897393</v>
      </c>
    </row>
    <row r="13" customFormat="false" ht="15" hidden="false" customHeight="false" outlineLevel="0" collapsed="false">
      <c r="A13" s="18" t="s">
        <v>334</v>
      </c>
      <c r="B13" s="21" t="n">
        <f aca="false">B9/B5</f>
        <v>279.764705882353</v>
      </c>
    </row>
    <row r="16" customFormat="false" ht="15" hidden="false" customHeight="false" outlineLevel="0" collapsed="false">
      <c r="A16" s="17" t="s">
        <v>335</v>
      </c>
      <c r="B16" s="17"/>
      <c r="C16" s="17"/>
      <c r="D16" s="17"/>
    </row>
    <row r="17" customFormat="false" ht="15" hidden="false" customHeight="false" outlineLevel="0" collapsed="false">
      <c r="A17" s="15" t="s">
        <v>311</v>
      </c>
      <c r="B17" s="15" t="s">
        <v>336</v>
      </c>
    </row>
    <row r="18" customFormat="false" ht="15" hidden="false" customHeight="false" outlineLevel="0" collapsed="false">
      <c r="A18" s="9" t="s">
        <v>337</v>
      </c>
      <c r="B18" s="13" t="n">
        <f aca="false">SUMIFS(Cleaned_Data!$H$5:$H$201,Cleaned_Data!$L$5:$L$201,A18,Cleaned_Data!$O$5:$O$201,"Completed")</f>
        <v>15900</v>
      </c>
    </row>
    <row r="19" customFormat="false" ht="15" hidden="false" customHeight="false" outlineLevel="0" collapsed="false">
      <c r="A19" s="9" t="s">
        <v>338</v>
      </c>
      <c r="B19" s="13" t="n">
        <f aca="false">SUMIFS(Cleaned_Data!$H$5:$H$201,Cleaned_Data!$L$5:$L$201,A19,Cleaned_Data!$O$5:$O$201,"Completed")</f>
        <v>12310</v>
      </c>
    </row>
    <row r="20" customFormat="false" ht="15" hidden="false" customHeight="false" outlineLevel="0" collapsed="false">
      <c r="A20" s="9" t="s">
        <v>339</v>
      </c>
      <c r="B20" s="13" t="n">
        <f aca="false">SUMIFS(Cleaned_Data!$H$5:$H$201,Cleaned_Data!$L$5:$L$201,A20,Cleaned_Data!$O$5:$O$201,"Completed")</f>
        <v>19350</v>
      </c>
    </row>
    <row r="22" customFormat="false" ht="15" hidden="false" customHeight="false" outlineLevel="0" collapsed="false">
      <c r="A22" s="18" t="s">
        <v>340</v>
      </c>
      <c r="B22" s="20" t="n">
        <f aca="false">IFERROR((B20-B19)/B19,0)</f>
        <v>0.571892770105605</v>
      </c>
    </row>
  </sheetData>
  <mergeCells count="3">
    <mergeCell ref="A1:D1"/>
    <mergeCell ref="A3:D3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5" min="4" style="0" width="16"/>
  </cols>
  <sheetData>
    <row r="1" customFormat="false" ht="15" hidden="false" customHeight="false" outlineLevel="0" collapsed="false">
      <c r="A1" s="11" t="s">
        <v>341</v>
      </c>
      <c r="B1" s="11"/>
      <c r="C1" s="11"/>
      <c r="D1" s="11"/>
      <c r="E1" s="11"/>
    </row>
    <row r="2" customFormat="false" ht="15" hidden="false" customHeight="false" outlineLevel="0" collapsed="false">
      <c r="A2" s="7" t="s">
        <v>342</v>
      </c>
      <c r="B2" s="7"/>
      <c r="C2" s="7"/>
      <c r="D2" s="7"/>
      <c r="E2" s="7"/>
      <c r="F2" s="7"/>
      <c r="G2" s="7"/>
      <c r="H2" s="7"/>
    </row>
    <row r="4" customFormat="false" ht="15" hidden="false" customHeight="false" outlineLevel="0" collapsed="false">
      <c r="A4" s="17" t="s">
        <v>343</v>
      </c>
      <c r="B4" s="17"/>
      <c r="C4" s="17"/>
    </row>
    <row r="5" customFormat="false" ht="15" hidden="false" customHeight="false" outlineLevel="0" collapsed="false">
      <c r="A5" s="15" t="s">
        <v>311</v>
      </c>
      <c r="B5" s="15" t="s">
        <v>308</v>
      </c>
    </row>
    <row r="6" customFormat="false" ht="15" hidden="false" customHeight="false" outlineLevel="0" collapsed="false">
      <c r="A6" s="9" t="s">
        <v>337</v>
      </c>
      <c r="B6" s="13" t="n">
        <f aca="false">SUMIFS(Cleaned_Data!$H$5:$H$201,Cleaned_Data!$L$5:$L$201,A6,Cleaned_Data!$O$5:$O$201,"Completed")</f>
        <v>15900</v>
      </c>
    </row>
    <row r="7" customFormat="false" ht="15" hidden="false" customHeight="false" outlineLevel="0" collapsed="false">
      <c r="A7" s="9" t="s">
        <v>338</v>
      </c>
      <c r="B7" s="13" t="n">
        <f aca="false">SUMIFS(Cleaned_Data!$H$5:$H$201,Cleaned_Data!$L$5:$L$201,A7,Cleaned_Data!$O$5:$O$201,"Completed")</f>
        <v>12310</v>
      </c>
    </row>
    <row r="8" customFormat="false" ht="15" hidden="false" customHeight="false" outlineLevel="0" collapsed="false">
      <c r="A8" s="9" t="s">
        <v>339</v>
      </c>
      <c r="B8" s="13" t="n">
        <f aca="false">SUMIFS(Cleaned_Data!$H$5:$H$201,Cleaned_Data!$L$5:$L$201,A8,Cleaned_Data!$O$5:$O$201,"Completed")</f>
        <v>19350</v>
      </c>
    </row>
    <row r="11" customFormat="false" ht="15" hidden="false" customHeight="false" outlineLevel="0" collapsed="false">
      <c r="A11" s="17" t="s">
        <v>344</v>
      </c>
      <c r="B11" s="17"/>
      <c r="C11" s="17"/>
      <c r="D11" s="17"/>
      <c r="E11" s="17"/>
    </row>
    <row r="12" customFormat="false" ht="15" hidden="false" customHeight="false" outlineLevel="0" collapsed="false">
      <c r="A12" s="15" t="s">
        <v>36</v>
      </c>
      <c r="B12" s="15" t="s">
        <v>308</v>
      </c>
      <c r="C12" s="15" t="s">
        <v>309</v>
      </c>
      <c r="D12" s="15" t="s">
        <v>333</v>
      </c>
      <c r="E12" s="15" t="s">
        <v>345</v>
      </c>
    </row>
    <row r="13" customFormat="false" ht="15" hidden="false" customHeight="false" outlineLevel="0" collapsed="false">
      <c r="A13" s="9" t="s">
        <v>62</v>
      </c>
      <c r="B13" s="13" t="n">
        <f aca="false">SUMIFS(Cleaned_Data!$H$5:$H$201,Cleaned_Data!$E$5:$E$201,A13,Cleaned_Data!$O$5:$O$201,"Completed")</f>
        <v>11960</v>
      </c>
      <c r="C13" s="13" t="n">
        <f aca="false">SUMIFS(Cleaned_Data!$J$5:$J$201,Cleaned_Data!$E$5:$E$201,A13,Cleaned_Data!$O$5:$O$201,"Completed")</f>
        <v>7131</v>
      </c>
      <c r="D13" s="14" t="n">
        <f aca="false">IFERROR(C13/B13,0)</f>
        <v>0.59623745819398</v>
      </c>
      <c r="E13" s="14" t="n">
        <f aca="false">IFERROR(B13/Calculations!$B$9,0)</f>
        <v>0.251471825063078</v>
      </c>
    </row>
    <row r="14" customFormat="false" ht="15" hidden="false" customHeight="false" outlineLevel="0" collapsed="false">
      <c r="A14" s="9" t="s">
        <v>78</v>
      </c>
      <c r="B14" s="13" t="n">
        <f aca="false">SUMIFS(Cleaned_Data!$H$5:$H$201,Cleaned_Data!$E$5:$E$201,A14,Cleaned_Data!$O$5:$O$201,"Completed")</f>
        <v>14960</v>
      </c>
      <c r="C14" s="13" t="n">
        <f aca="false">SUMIFS(Cleaned_Data!$J$5:$J$201,Cleaned_Data!$E$5:$E$201,A14,Cleaned_Data!$O$5:$O$201,"Completed")</f>
        <v>8623</v>
      </c>
      <c r="D14" s="14" t="n">
        <f aca="false">IFERROR(C14/B14,0)</f>
        <v>0.576403743315508</v>
      </c>
      <c r="E14" s="14" t="n">
        <f aca="false">IFERROR(B14/Calculations!$B$9,0)</f>
        <v>0.314550042052145</v>
      </c>
    </row>
    <row r="15" customFormat="false" ht="15" hidden="false" customHeight="false" outlineLevel="0" collapsed="false">
      <c r="A15" s="9" t="s">
        <v>45</v>
      </c>
      <c r="B15" s="13" t="n">
        <f aca="false">SUMIFS(Cleaned_Data!$H$5:$H$201,Cleaned_Data!$E$5:$E$201,A15,Cleaned_Data!$O$5:$O$201,"Completed")</f>
        <v>10750</v>
      </c>
      <c r="C15" s="13" t="n">
        <f aca="false">SUMIFS(Cleaned_Data!$J$5:$J$201,Cleaned_Data!$E$5:$E$201,A15,Cleaned_Data!$O$5:$O$201,"Completed")</f>
        <v>5776</v>
      </c>
      <c r="D15" s="14" t="n">
        <f aca="false">IFERROR(C15/B15,0)</f>
        <v>0.537302325581395</v>
      </c>
      <c r="E15" s="14" t="n">
        <f aca="false">IFERROR(B15/Calculations!$B$9,0)</f>
        <v>0.226030277544155</v>
      </c>
    </row>
    <row r="16" customFormat="false" ht="15" hidden="false" customHeight="false" outlineLevel="0" collapsed="false">
      <c r="A16" s="9" t="s">
        <v>55</v>
      </c>
      <c r="B16" s="13" t="n">
        <f aca="false">SUMIFS(Cleaned_Data!$H$5:$H$201,Cleaned_Data!$E$5:$E$201,A16,Cleaned_Data!$O$5:$O$201,"Completed")</f>
        <v>9890</v>
      </c>
      <c r="C16" s="13" t="n">
        <f aca="false">SUMIFS(Cleaned_Data!$J$5:$J$201,Cleaned_Data!$E$5:$E$201,A16,Cleaned_Data!$O$5:$O$201,"Completed")</f>
        <v>5069</v>
      </c>
      <c r="D16" s="14" t="n">
        <f aca="false">IFERROR(C16/B16,0)</f>
        <v>0.512537917087968</v>
      </c>
      <c r="E16" s="14" t="n">
        <f aca="false">IFERROR(B16/Calculations!$B$9,0)</f>
        <v>0.207947855340622</v>
      </c>
    </row>
    <row r="19" customFormat="false" ht="15" hidden="false" customHeight="false" outlineLevel="0" collapsed="false">
      <c r="A19" s="17" t="s">
        <v>346</v>
      </c>
      <c r="B19" s="17"/>
      <c r="C19" s="17"/>
      <c r="D19" s="17"/>
    </row>
    <row r="20" customFormat="false" ht="15" hidden="false" customHeight="false" outlineLevel="0" collapsed="false">
      <c r="A20" s="15" t="s">
        <v>34</v>
      </c>
      <c r="B20" s="15" t="s">
        <v>308</v>
      </c>
      <c r="C20" s="15" t="s">
        <v>347</v>
      </c>
      <c r="D20" s="15" t="s">
        <v>345</v>
      </c>
    </row>
    <row r="21" customFormat="false" ht="15" hidden="false" customHeight="false" outlineLevel="0" collapsed="false">
      <c r="A21" s="9" t="s">
        <v>43</v>
      </c>
      <c r="B21" s="13" t="n">
        <f aca="false">SUMIFS(Cleaned_Data!$H$5:$H$201,Cleaned_Data!$C$5:$C$201,A21,Cleaned_Data!$O$5:$O$201,"Completed")</f>
        <v>12540</v>
      </c>
      <c r="C21" s="22" t="n">
        <f aca="false">COUNTIFS(Cleaned_Data!$C$5:$C$201,A21,Cleaned_Data!$O$5:$O$201,"Completed")</f>
        <v>49</v>
      </c>
      <c r="D21" s="14" t="n">
        <f aca="false">IFERROR(B21/Calculations!$B$9,0)</f>
        <v>0.263666947014298</v>
      </c>
    </row>
    <row r="22" customFormat="false" ht="15" hidden="false" customHeight="false" outlineLevel="0" collapsed="false">
      <c r="A22" s="9" t="s">
        <v>66</v>
      </c>
      <c r="B22" s="13" t="n">
        <f aca="false">SUMIFS(Cleaned_Data!$H$5:$H$201,Cleaned_Data!$C$5:$C$201,A22,Cleaned_Data!$O$5:$O$201,"Completed")</f>
        <v>12210</v>
      </c>
      <c r="C22" s="22" t="n">
        <f aca="false">COUNTIFS(Cleaned_Data!$C$5:$C$201,A22,Cleaned_Data!$O$5:$O$201,"Completed")</f>
        <v>42</v>
      </c>
      <c r="D22" s="14" t="n">
        <f aca="false">IFERROR(B22/Calculations!$B$9,0)</f>
        <v>0.2567283431455</v>
      </c>
    </row>
    <row r="23" customFormat="false" ht="15" hidden="false" customHeight="false" outlineLevel="0" collapsed="false">
      <c r="A23" s="9" t="s">
        <v>60</v>
      </c>
      <c r="B23" s="13" t="n">
        <f aca="false">SUMIFS(Cleaned_Data!$H$5:$H$201,Cleaned_Data!$C$5:$C$201,A23,Cleaned_Data!$O$5:$O$201,"Completed")</f>
        <v>12580</v>
      </c>
      <c r="C23" s="22" t="n">
        <f aca="false">COUNTIFS(Cleaned_Data!$C$5:$C$201,A23,Cleaned_Data!$O$5:$O$201,"Completed")</f>
        <v>42</v>
      </c>
      <c r="D23" s="14" t="n">
        <f aca="false">IFERROR(B23/Calculations!$B$9,0)</f>
        <v>0.264507989907485</v>
      </c>
    </row>
    <row r="24" customFormat="false" ht="15" hidden="false" customHeight="false" outlineLevel="0" collapsed="false">
      <c r="A24" s="9" t="s">
        <v>83</v>
      </c>
      <c r="B24" s="13" t="n">
        <f aca="false">SUMIFS(Cleaned_Data!$H$5:$H$201,Cleaned_Data!$C$5:$C$201,A24,Cleaned_Data!$O$5:$O$201,"Completed")</f>
        <v>10230</v>
      </c>
      <c r="C24" s="22" t="n">
        <f aca="false">COUNTIFS(Cleaned_Data!$C$5:$C$201,A24,Cleaned_Data!$O$5:$O$201,"Completed")</f>
        <v>37</v>
      </c>
      <c r="D24" s="14" t="n">
        <f aca="false">IFERROR(B24/Calculations!$B$9,0)</f>
        <v>0.215096719932717</v>
      </c>
    </row>
    <row r="27" customFormat="false" ht="15" hidden="false" customHeight="false" outlineLevel="0" collapsed="false">
      <c r="A27" s="17" t="s">
        <v>348</v>
      </c>
      <c r="B27" s="17"/>
      <c r="C27" s="17"/>
    </row>
    <row r="28" customFormat="false" ht="15" hidden="false" customHeight="false" outlineLevel="0" collapsed="false">
      <c r="A28" s="15" t="s">
        <v>35</v>
      </c>
      <c r="B28" s="15" t="s">
        <v>308</v>
      </c>
    </row>
    <row r="29" customFormat="false" ht="15" hidden="false" customHeight="false" outlineLevel="0" collapsed="false">
      <c r="A29" s="9" t="s">
        <v>89</v>
      </c>
      <c r="B29" s="13" t="n">
        <f aca="false">SUMIFS(Cleaned_Data!$H$5:$H$201,Cleaned_Data!$D$5:$D$201,A29,Cleaned_Data!$O$5:$O$201,"Completed")</f>
        <v>6960</v>
      </c>
    </row>
    <row r="30" customFormat="false" ht="15" hidden="false" customHeight="false" outlineLevel="0" collapsed="false">
      <c r="A30" s="9" t="s">
        <v>67</v>
      </c>
      <c r="B30" s="13" t="n">
        <f aca="false">SUMIFS(Cleaned_Data!$H$5:$H$201,Cleaned_Data!$D$5:$D$201,A30,Cleaned_Data!$O$5:$O$201,"Completed")</f>
        <v>3800</v>
      </c>
    </row>
    <row r="31" customFormat="false" ht="15" hidden="false" customHeight="false" outlineLevel="0" collapsed="false">
      <c r="A31" s="9" t="s">
        <v>85</v>
      </c>
      <c r="B31" s="13" t="n">
        <f aca="false">SUMIFS(Cleaned_Data!$H$5:$H$201,Cleaned_Data!$D$5:$D$201,A31,Cleaned_Data!$O$5:$O$201,"Completed")</f>
        <v>3800</v>
      </c>
    </row>
    <row r="32" customFormat="false" ht="15" hidden="false" customHeight="false" outlineLevel="0" collapsed="false">
      <c r="A32" s="9" t="s">
        <v>44</v>
      </c>
      <c r="B32" s="13" t="n">
        <f aca="false">SUMIFS(Cleaned_Data!$H$5:$H$201,Cleaned_Data!$D$5:$D$201,A32,Cleaned_Data!$O$5:$O$201,"Completed")</f>
        <v>3520</v>
      </c>
    </row>
    <row r="33" customFormat="false" ht="15" hidden="false" customHeight="false" outlineLevel="0" collapsed="false">
      <c r="A33" s="9" t="s">
        <v>58</v>
      </c>
      <c r="B33" s="13" t="n">
        <f aca="false">SUMIFS(Cleaned_Data!$H$5:$H$201,Cleaned_Data!$D$5:$D$201,A33,Cleaned_Data!$O$5:$O$201,"Completed")</f>
        <v>3450</v>
      </c>
    </row>
    <row r="35" customFormat="false" ht="15" hidden="false" customHeight="false" outlineLevel="0" collapsed="false">
      <c r="A35" s="7" t="s">
        <v>349</v>
      </c>
      <c r="B35" s="7"/>
      <c r="C35" s="7"/>
      <c r="D35" s="7"/>
      <c r="E35" s="7"/>
      <c r="F35" s="7"/>
      <c r="G35" s="7"/>
      <c r="H35" s="7"/>
    </row>
    <row r="37" customFormat="false" ht="15" hidden="false" customHeight="false" outlineLevel="0" collapsed="false">
      <c r="A37" s="17" t="s">
        <v>350</v>
      </c>
      <c r="B37" s="17"/>
      <c r="C37" s="17"/>
    </row>
    <row r="38" customFormat="false" ht="15" hidden="false" customHeight="false" outlineLevel="0" collapsed="false">
      <c r="A38" s="15" t="s">
        <v>314</v>
      </c>
      <c r="B38" s="15" t="s">
        <v>347</v>
      </c>
      <c r="C38" s="15" t="s">
        <v>351</v>
      </c>
    </row>
    <row r="39" customFormat="false" ht="15" hidden="false" customHeight="false" outlineLevel="0" collapsed="false">
      <c r="A39" s="9" t="s">
        <v>51</v>
      </c>
      <c r="B39" s="22" t="n">
        <f aca="false">COUNTIF(Cleaned_Data!$O$5:$O$201,A39)</f>
        <v>170</v>
      </c>
      <c r="C39" s="14" t="n">
        <f aca="false">IFERROR(B39/Calculations!$B$4,0)</f>
        <v>0.862944162436548</v>
      </c>
    </row>
    <row r="40" customFormat="false" ht="15" hidden="false" customHeight="false" outlineLevel="0" collapsed="false">
      <c r="A40" s="9" t="s">
        <v>47</v>
      </c>
      <c r="B40" s="22" t="n">
        <f aca="false">COUNTIF(Cleaned_Data!$O$5:$O$201,A40)</f>
        <v>27</v>
      </c>
      <c r="C40" s="14" t="n">
        <f aca="false">IFERROR(B40/Calculations!$B$4,0)</f>
        <v>0.137055837563452</v>
      </c>
    </row>
  </sheetData>
  <mergeCells count="8">
    <mergeCell ref="A1:E1"/>
    <mergeCell ref="A2:H2"/>
    <mergeCell ref="A4:C4"/>
    <mergeCell ref="A11:E11"/>
    <mergeCell ref="A19:D19"/>
    <mergeCell ref="A27:C27"/>
    <mergeCell ref="A35:H35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2" style="0" width="11"/>
  </cols>
  <sheetData>
    <row r="2" customFormat="false" ht="19.7" hidden="false" customHeight="false" outlineLevel="0" collapsed="false">
      <c r="B2" s="23" t="s">
        <v>352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customFormat="false" ht="15" hidden="false" customHeight="false" outlineLevel="0" collapsed="false">
      <c r="B3" s="24" t="s">
        <v>353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5" customFormat="false" ht="15" hidden="false" customHeight="false" outlineLevel="0" collapsed="false">
      <c r="B5" s="25"/>
      <c r="C5" s="25"/>
      <c r="E5" s="25"/>
      <c r="F5" s="25"/>
      <c r="H5" s="25"/>
      <c r="I5" s="25"/>
      <c r="K5" s="25"/>
      <c r="L5" s="25"/>
      <c r="N5" s="25"/>
      <c r="O5" s="25"/>
    </row>
    <row r="6" customFormat="false" ht="15" hidden="false" customHeight="false" outlineLevel="0" collapsed="false">
      <c r="B6" s="26" t="s">
        <v>354</v>
      </c>
      <c r="C6" s="26"/>
      <c r="E6" s="26" t="s">
        <v>355</v>
      </c>
      <c r="F6" s="26"/>
      <c r="H6" s="26" t="s">
        <v>325</v>
      </c>
      <c r="I6" s="26"/>
      <c r="K6" s="26" t="s">
        <v>356</v>
      </c>
      <c r="L6" s="26"/>
      <c r="N6" s="26" t="s">
        <v>310</v>
      </c>
      <c r="O6" s="26"/>
    </row>
    <row r="7" customFormat="false" ht="22.05" hidden="false" customHeight="false" outlineLevel="0" collapsed="false">
      <c r="B7" s="27" t="n">
        <f aca="false">Calculations!B9</f>
        <v>47560</v>
      </c>
      <c r="C7" s="27"/>
      <c r="E7" s="27" t="n">
        <f aca="false">Calculations!B11</f>
        <v>26599</v>
      </c>
      <c r="F7" s="27"/>
      <c r="H7" s="28" t="n">
        <f aca="false">Calculations!B4</f>
        <v>197</v>
      </c>
      <c r="I7" s="28"/>
      <c r="K7" s="27" t="n">
        <f aca="false">Calculations!B13</f>
        <v>279.764705882353</v>
      </c>
      <c r="L7" s="27"/>
      <c r="N7" s="29" t="n">
        <f aca="false">Calculations!B12</f>
        <v>0.559272497897393</v>
      </c>
      <c r="O7" s="29"/>
    </row>
    <row r="8" customFormat="false" ht="15" hidden="false" customHeight="false" outlineLevel="0" collapsed="false">
      <c r="B8" s="30"/>
      <c r="C8" s="30"/>
      <c r="E8" s="30"/>
      <c r="F8" s="30"/>
      <c r="H8" s="30"/>
      <c r="I8" s="30"/>
      <c r="K8" s="30"/>
      <c r="L8" s="30"/>
      <c r="N8" s="30"/>
      <c r="O8" s="30"/>
    </row>
    <row r="43" customFormat="false" ht="15" hidden="false" customHeight="false" outlineLevel="0" collapsed="false">
      <c r="J43" s="31" t="s">
        <v>357</v>
      </c>
      <c r="K43" s="31"/>
      <c r="L43" s="31"/>
      <c r="M43" s="31"/>
      <c r="N43" s="31"/>
    </row>
    <row r="44" customFormat="false" ht="15" hidden="false" customHeight="true" outlineLevel="0" collapsed="false">
      <c r="J44" s="32" t="s">
        <v>358</v>
      </c>
      <c r="K44" s="32"/>
      <c r="L44" s="32"/>
      <c r="M44" s="32"/>
      <c r="N44" s="32"/>
    </row>
    <row r="45" customFormat="false" ht="15" hidden="false" customHeight="false" outlineLevel="0" collapsed="false">
      <c r="J45" s="32"/>
      <c r="K45" s="32"/>
      <c r="L45" s="32"/>
      <c r="M45" s="32"/>
      <c r="N45" s="32"/>
    </row>
    <row r="46" customFormat="false" ht="15" hidden="false" customHeight="false" outlineLevel="0" collapsed="false">
      <c r="J46" s="32"/>
      <c r="K46" s="32"/>
      <c r="L46" s="32"/>
      <c r="M46" s="32"/>
      <c r="N46" s="32"/>
    </row>
    <row r="47" customFormat="false" ht="15" hidden="false" customHeight="false" outlineLevel="0" collapsed="false">
      <c r="J47" s="32"/>
      <c r="K47" s="32"/>
      <c r="L47" s="32"/>
      <c r="M47" s="32"/>
      <c r="N47" s="32"/>
    </row>
    <row r="48" customFormat="false" ht="15" hidden="false" customHeight="false" outlineLevel="0" collapsed="false">
      <c r="J48" s="32"/>
      <c r="K48" s="32"/>
      <c r="L48" s="32"/>
      <c r="M48" s="32"/>
      <c r="N48" s="32"/>
    </row>
    <row r="49" customFormat="false" ht="15" hidden="false" customHeight="false" outlineLevel="0" collapsed="false">
      <c r="J49" s="32"/>
      <c r="K49" s="32"/>
      <c r="L49" s="32"/>
      <c r="M49" s="32"/>
      <c r="N49" s="32"/>
    </row>
    <row r="50" customFormat="false" ht="15" hidden="false" customHeight="false" outlineLevel="0" collapsed="false">
      <c r="J50" s="32"/>
      <c r="K50" s="32"/>
      <c r="L50" s="32"/>
      <c r="M50" s="32"/>
      <c r="N50" s="32"/>
    </row>
    <row r="51" customFormat="false" ht="15" hidden="false" customHeight="false" outlineLevel="0" collapsed="false">
      <c r="J51" s="32"/>
      <c r="K51" s="32"/>
      <c r="L51" s="32"/>
      <c r="M51" s="32"/>
      <c r="N51" s="32"/>
    </row>
  </sheetData>
  <mergeCells count="24">
    <mergeCell ref="B2:N2"/>
    <mergeCell ref="B3:N3"/>
    <mergeCell ref="B5:C5"/>
    <mergeCell ref="E5:F5"/>
    <mergeCell ref="H5:I5"/>
    <mergeCell ref="K5:L5"/>
    <mergeCell ref="N5:O5"/>
    <mergeCell ref="B6:C6"/>
    <mergeCell ref="E6:F6"/>
    <mergeCell ref="H6:I6"/>
    <mergeCell ref="K6:L6"/>
    <mergeCell ref="N6:O6"/>
    <mergeCell ref="B7:C7"/>
    <mergeCell ref="E7:F7"/>
    <mergeCell ref="H7:I7"/>
    <mergeCell ref="K7:L7"/>
    <mergeCell ref="N7:O7"/>
    <mergeCell ref="B8:C8"/>
    <mergeCell ref="E8:F8"/>
    <mergeCell ref="H8:I8"/>
    <mergeCell ref="K8:L8"/>
    <mergeCell ref="N8:O8"/>
    <mergeCell ref="J43:N43"/>
    <mergeCell ref="J44:N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2026-09-19T04:04:55Z</dcterms:created>
  <dc:creator>openpyxl</dc:creator>
  <dc:description/>
  <dc:language>en-US</dc:language>
  <cp:lastModifiedBy/>
  <dcterms:modified xsi:type="dcterms:W3CDTF">2026-09-19T04:04:57Z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